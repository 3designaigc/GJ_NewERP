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st_Quote" sheetId="1" r:id="rId1"/>
    <sheet name="Assumptions" sheetId="2" r:id="rId2"/>
    <sheet name="Retail_Check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#,##0"/>
  </numFmts>
  <fonts count="5">
    <font>
      <sz val="11"/>
      <color rgb="FF1F2937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4B5563"/>
      <name val="Arial"/>
    </font>
    <font>
      <b/>
      <sz val="11"/>
      <color rgb="FF111827"/>
      <name val="Arial"/>
    </font>
  </fonts>
  <fills count="6">
    <fill>
      <patternFill patternType="none"/>
    </fill>
    <fill>
      <patternFill patternType="gray125"/>
    </fill>
    <fill>
      <patternFill patternType="solid">
        <fgColor rgb="FF214E5E"/>
        <bgColor indexed="64"/>
      </patternFill>
    </fill>
    <fill>
      <patternFill patternType="solid">
        <fgColor rgb="FF2F6F73"/>
        <bgColor indexed="64"/>
      </patternFill>
    </fill>
    <fill>
      <patternFill patternType="solid">
        <fgColor rgb="FFF4F7F7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horizontal="left" vertical="center"/>
    </xf>
    <xf numFmtId="0" fontId="3" fillId="0" borderId="0" xfId="0" applyFont="1">
      <alignment horizontal="left" vertical="center" wrapText="1"/>
    </xf>
    <xf numFmtId="0" fontId="2" fillId="3" borderId="1" xfId="0" applyFont="1" applyFill="1" applyBorder="1">
      <alignment horizontal="center" vertical="center" wrapText="1"/>
    </xf>
    <xf numFmtId="0" fontId="0" fillId="5" borderId="1" xfId="0" applyFill="1" applyBorder="1">
      <alignment vertical="center" wrapText="1"/>
    </xf>
    <xf numFmtId="164" fontId="0" fillId="0" borderId="1" xfId="0" applyNumberFormat="1" applyBorder="1">
      <alignment horizontal="right" vertical="center"/>
    </xf>
    <xf numFmtId="164" fontId="0" fillId="4" borderId="1" xfId="0" applyNumberFormat="1" applyFill="1" applyBorder="1">
      <alignment horizontal="right" vertical="center"/>
    </xf>
    <xf numFmtId="165" fontId="0" fillId="5" borderId="1" xfId="0" applyNumberFormat="1" applyFill="1" applyBorder="1">
      <alignment horizontal="right" vertical="center"/>
    </xf>
    <xf numFmtId="164" fontId="0" fillId="4" borderId="1" xfId="0" applyNumberFormat="1" applyFill="1" applyBorder="1">
      <alignment horizontal="right" vertical="center"/>
    </xf>
    <xf numFmtId="0" fontId="3" fillId="5" borderId="1" xfId="0" applyFont="1" applyFill="1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4" topLeftCell="A5" activePane="bottomRight" state="frozen"/>
      <selection pane="bottomRight" activeCell="A5" sqref="A5"/>
    </sheetView>
  </sheetViews>
  <cols>
    <col min="1" max="1" width="10" customWidth="1"/>
    <col min="2" max="2" width="52" customWidth="1"/>
    <col min="3" max="3" width="18" customWidth="1"/>
    <col min="4" max="4" width="8" customWidth="1"/>
    <col min="5" max="5" width="10" customWidth="1"/>
    <col min="6" max="6" width="8" customWidth="1"/>
    <col min="7" max="7" width="10" customWidth="1"/>
    <col min="8" max="8" width="10" customWidth="1"/>
    <col min="9" max="9" width="10" customWidth="1"/>
    <col min="10" max="10" width="14" customWidth="1"/>
    <col min="11" max="11" width="12" customWidth="1"/>
    <col min="12" max="12" width="16" customWidth="1"/>
    <col min="13" max="13" width="16" customWidth="1"/>
    <col min="14" max="14" width="16" customWidth="1"/>
    <col min="15" max="15" width="12" customWidth="1"/>
    <col min="16" max="16" width="14" customWidth="1"/>
    <col min="17" max="17" width="12" customWidth="1"/>
    <col min="18" max="18" width="12" customWidth="1"/>
    <col min="19" max="19" width="14" customWidth="1"/>
    <col min="20" max="20" width="16" customWidth="1"/>
    <col min="21" max="21" width="14" customWidth="1"/>
    <col min="22" max="22" width="14" customWidth="1"/>
    <col min="23" max="23" width="16" customWidth="1"/>
    <col min="24" max="24" width="14" customWidth="1"/>
    <col min="25" max="25" width="14" customWidth="1"/>
  </cols>
  <sheetData>
    <row r="1" ht="28" customHeight="1">
      <c r="A1" t="inlineStr" s="1">
        <is>
          <t>Whisky 成本計算與台幣報價</t>
        </is>
      </c>
    </row>
    <row r="2">
      <c r="A2" t="inlineStr" s="2">
        <is>
          <t>報價單位：瓶。匯率 37.5；原幣成本加 5% 出口國內陸成本；毛利率 8%。海運以 20 呎櫃 NT$100,000 攤 10 板；含酒稅與 5% 營業稅。</t>
        </is>
      </c>
    </row>
    <row r="4">
      <c r="A4" t="inlineStr" s="3">
        <is>
          <t>CODE</t>
        </is>
      </c>
      <c r="B4" t="inlineStr" s="3">
        <is>
          <t>品名</t>
        </is>
      </c>
      <c r="C4" t="inlineStr" s="3">
        <is>
          <t>EAN</t>
        </is>
      </c>
      <c r="D4" t="inlineStr" s="3">
        <is>
          <t>度數</t>
        </is>
      </c>
      <c r="E4" t="inlineStr" s="3">
        <is>
          <t>容量(L)</t>
        </is>
      </c>
      <c r="F4" t="inlineStr" s="3">
        <is>
          <t>箱規</t>
        </is>
      </c>
      <c r="G4" t="inlineStr" s="3">
        <is>
          <t>瓶/板</t>
        </is>
      </c>
      <c r="H4" t="inlineStr" s="3">
        <is>
          <t>箱/板</t>
        </is>
      </c>
      <c r="I4" t="inlineStr" s="3">
        <is>
          <t>GB</t>
        </is>
      </c>
      <c r="J4" t="inlineStr" s="3">
        <is>
          <t>可供瓶數</t>
        </is>
      </c>
      <c r="K4" t="inlineStr" s="3">
        <is>
          <t>歐元/瓶</t>
        </is>
      </c>
      <c r="L4" t="inlineStr" s="3">
        <is>
          <t>出口國內陸成本EUR/瓶</t>
        </is>
      </c>
      <c r="M4" t="inlineStr" s="3">
        <is>
          <t>含內陸成本EUR/瓶</t>
        </is>
      </c>
      <c r="N4" t="inlineStr" s="3">
        <is>
          <t>台幣裸成本/瓶</t>
        </is>
      </c>
      <c r="O4" t="inlineStr" s="3">
        <is>
          <t>海運/瓶</t>
        </is>
      </c>
      <c r="P4" t="inlineStr" s="3">
        <is>
          <t>其他運雜費/瓶</t>
        </is>
      </c>
      <c r="Q4" t="inlineStr" s="3">
        <is>
          <t>酒稅/瓶</t>
        </is>
      </c>
      <c r="R4" t="inlineStr" s="3">
        <is>
          <t>營業稅/瓶</t>
        </is>
      </c>
      <c r="S4" t="inlineStr" s="3">
        <is>
          <t>總成本/瓶</t>
        </is>
      </c>
      <c r="T4" t="inlineStr" s="3">
        <is>
          <t>8%毛利報價/瓶</t>
        </is>
      </c>
      <c r="U4" t="inlineStr" s="3">
        <is>
          <t>建議報價/瓶</t>
        </is>
      </c>
      <c r="V4" t="inlineStr" s="3">
        <is>
          <t>台幣報價/箱</t>
        </is>
      </c>
      <c r="W4" t="inlineStr" s="3">
        <is>
          <t>Requested bottles</t>
        </is>
      </c>
      <c r="X4" t="inlineStr" s="3">
        <is>
          <t>採購成本EUR</t>
        </is>
      </c>
      <c r="Y4" t="inlineStr" s="3">
        <is>
          <t>採購成本TWD</t>
        </is>
      </c>
    </row>
    <row r="5">
      <c r="A5" t="inlineStr" s="4">
        <is>
          <t>68399</t>
        </is>
      </c>
      <c r="B5" t="inlineStr" s="4">
        <is>
          <t>JOHNNIE WALKER 12 ans Black Label</t>
        </is>
      </c>
      <c r="C5" t="inlineStr" s="4">
        <is>
          <t>5000267024202</t>
        </is>
      </c>
      <c r="D5" s="5">
        <v>40</v>
      </c>
      <c r="E5" s="5">
        <v>0.7</v>
      </c>
      <c r="F5" s="5">
        <v>6</v>
      </c>
      <c r="G5" s="5">
        <v>672</v>
      </c>
      <c r="H5" s="5">
        <v>112</v>
      </c>
      <c r="I5" t="inlineStr" s="4">
        <is>
          <t>NO GB</t>
        </is>
      </c>
      <c r="J5" t="inlineStr" s="4">
        <is>
          <t>VOL MAX ?</t>
        </is>
      </c>
      <c r="K5" s="6">
        <v>10.8</v>
      </c>
      <c r="L5" s="6">
        <f>K5*Assumptions!$B$7</f>
        <v>0.54</v>
      </c>
      <c r="M5" s="6">
        <f>K5+L5</f>
        <v>11.34</v>
      </c>
      <c r="N5" s="6">
        <f>M5*Assumptions!$B$5</f>
        <v>425.25</v>
      </c>
      <c r="O5" s="6">
        <f>Assumptions!$B$8/Assumptions!$B$9/G5</f>
        <v>14.880952380952381</v>
      </c>
      <c r="P5" s="6">
        <f>Assumptions!$B$10</f>
        <v>0</v>
      </c>
      <c r="Q5" s="6">
        <f>E5*D5*Assumptions!$B$11</f>
        <v>70</v>
      </c>
      <c r="R5" s="6">
        <f>(N5+O5+P5+Q5)*Assumptions!$B$12</f>
        <v>25.506547619047623</v>
      </c>
      <c r="S5" s="6">
        <f>N5+O5+P5+Q5+R5</f>
        <v>535.6375</v>
      </c>
      <c r="T5" s="6">
        <f>S5/(1-Assumptions!$B$6)</f>
        <v>582.2146739130435</v>
      </c>
      <c r="U5" s="6">
        <f>CEILING(T5,Assumptions!$B$13)</f>
        <v>583</v>
      </c>
      <c r="V5" s="6">
        <f>U5*F5</f>
        <v>3498</v>
      </c>
      <c r="W5" s="4"/>
      <c r="X5" s="6">
        <f>IF(W5="","",W5*M5)</f>
      </c>
      <c r="Y5" s="6">
        <f>IF(W5="","",W5*S5)</f>
      </c>
    </row>
    <row r="6">
      <c r="A6" t="inlineStr" s="4">
        <is>
          <t>68397</t>
        </is>
      </c>
      <c r="B6" t="inlineStr" s="4">
        <is>
          <t>JOHNNIE WALKER 15 ans Green Label</t>
        </is>
      </c>
      <c r="C6" t="inlineStr" s="4">
        <is>
          <t>5000267199443</t>
        </is>
      </c>
      <c r="D6" s="5">
        <v>43</v>
      </c>
      <c r="E6" s="5">
        <v>0.7</v>
      </c>
      <c r="F6" s="5">
        <v>6</v>
      </c>
      <c r="G6" s="5">
        <v>240</v>
      </c>
      <c r="H6" s="5">
        <v>40</v>
      </c>
      <c r="I6" t="inlineStr" s="4">
        <is>
          <t>WITH GB</t>
        </is>
      </c>
      <c r="J6" t="inlineStr" s="4">
        <is>
          <t>VOL MAX ?</t>
        </is>
      </c>
      <c r="K6" s="6">
        <v>22.25</v>
      </c>
      <c r="L6" s="6">
        <f>K6*Assumptions!$B$7</f>
        <v>1.1125</v>
      </c>
      <c r="M6" s="6">
        <f>K6+L6</f>
        <v>23.3625</v>
      </c>
      <c r="N6" s="6">
        <f>M6*Assumptions!$B$5</f>
        <v>876.09375</v>
      </c>
      <c r="O6" s="6">
        <f>Assumptions!$B$8/Assumptions!$B$9/G6</f>
        <v>41.666666666666664</v>
      </c>
      <c r="P6" s="6">
        <f>Assumptions!$B$10</f>
        <v>0</v>
      </c>
      <c r="Q6" s="6">
        <f>E6*D6*Assumptions!$B$11</f>
        <v>75.25</v>
      </c>
      <c r="R6" s="6">
        <f>(N6+O6+P6+Q6)*Assumptions!$B$12</f>
        <v>49.65052083333333</v>
      </c>
      <c r="S6" s="6">
        <f>N6+O6+P6+Q6+R6</f>
        <v>1042.6609375</v>
      </c>
      <c r="T6" s="6">
        <f>S6/(1-Assumptions!$B$6)</f>
        <v>1133.3271059782608</v>
      </c>
      <c r="U6" s="6">
        <f>CEILING(T6,Assumptions!$B$13)</f>
        <v>1134</v>
      </c>
      <c r="V6" s="6">
        <f>U6*F6</f>
        <v>6804</v>
      </c>
      <c r="W6" s="4"/>
      <c r="X6" s="6">
        <f>IF(W6="","",W6*M6)</f>
      </c>
      <c r="Y6" s="6">
        <f>IF(W6="","",W6*S6)</f>
      </c>
    </row>
    <row r="7">
      <c r="A7" t="inlineStr" s="4">
        <is>
          <t>68392</t>
        </is>
      </c>
      <c r="B7" t="inlineStr" s="4">
        <is>
          <t>JOHNNIE WALKER Blue Label</t>
        </is>
      </c>
      <c r="C7" t="inlineStr" s="4">
        <is>
          <t>5000267115245</t>
        </is>
      </c>
      <c r="D7" s="5">
        <v>40</v>
      </c>
      <c r="E7" s="5">
        <v>0.7</v>
      </c>
      <c r="F7" s="5">
        <v>6</v>
      </c>
      <c r="G7" s="5">
        <v>624</v>
      </c>
      <c r="H7" s="5">
        <v>104</v>
      </c>
      <c r="I7" t="inlineStr" s="4">
        <is>
          <t>WITH GB</t>
        </is>
      </c>
      <c r="J7" t="inlineStr" s="4">
        <is>
          <t>VOL MAX ?</t>
        </is>
      </c>
      <c r="K7" s="6">
        <v>92</v>
      </c>
      <c r="L7" s="6">
        <f>K7*Assumptions!$B$7</f>
        <v>4.6000000000000005</v>
      </c>
      <c r="M7" s="6">
        <f>K7+L7</f>
        <v>96.6</v>
      </c>
      <c r="N7" s="6">
        <f>M7*Assumptions!$B$5</f>
        <v>3622.5</v>
      </c>
      <c r="O7" s="6">
        <f>Assumptions!$B$8/Assumptions!$B$9/G7</f>
        <v>16.025641025641026</v>
      </c>
      <c r="P7" s="6">
        <f>Assumptions!$B$10</f>
        <v>0</v>
      </c>
      <c r="Q7" s="6">
        <f>E7*D7*Assumptions!$B$11</f>
        <v>70</v>
      </c>
      <c r="R7" s="6">
        <f>(N7+O7+P7+Q7)*Assumptions!$B$12</f>
        <v>185.42628205128207</v>
      </c>
      <c r="S7" s="6">
        <f>N7+O7+P7+Q7+R7</f>
        <v>3893.9519230769233</v>
      </c>
      <c r="T7" s="6">
        <f>S7/(1-Assumptions!$B$6)</f>
        <v>4232.556438127091</v>
      </c>
      <c r="U7" s="6">
        <f>CEILING(T7,Assumptions!$B$13)</f>
        <v>4233</v>
      </c>
      <c r="V7" s="6">
        <f>U7*F7</f>
        <v>25398</v>
      </c>
      <c r="W7" s="4"/>
      <c r="X7" s="6">
        <f>IF(W7="","",W7*M7)</f>
      </c>
      <c r="Y7" s="6">
        <f>IF(W7="","",W7*S7)</f>
      </c>
    </row>
    <row r="8">
      <c r="A8" t="inlineStr" s="4">
        <is>
          <t>17261</t>
        </is>
      </c>
      <c r="B8" t="inlineStr" s="4">
        <is>
          <t>SINGLETON 15 ans Of Dufftown</t>
        </is>
      </c>
      <c r="C8" t="inlineStr" s="4">
        <is>
          <t>5000281026626</t>
        </is>
      </c>
      <c r="D8" s="5">
        <v>40</v>
      </c>
      <c r="E8" s="5">
        <v>0.7</v>
      </c>
      <c r="F8" s="5">
        <v>6</v>
      </c>
      <c r="G8" s="5">
        <v>510</v>
      </c>
      <c r="H8" s="5">
        <v>85</v>
      </c>
      <c r="I8" t="inlineStr" s="4">
        <is>
          <t>NO GB</t>
        </is>
      </c>
      <c r="J8" t="inlineStr" s="4">
        <is>
          <t>VOL MAX ?</t>
        </is>
      </c>
      <c r="K8" s="6">
        <v>21</v>
      </c>
      <c r="L8" s="6">
        <f>K8*Assumptions!$B$7</f>
        <v>1.05</v>
      </c>
      <c r="M8" s="6">
        <f>K8+L8</f>
        <v>22.05</v>
      </c>
      <c r="N8" s="6">
        <f>M8*Assumptions!$B$5</f>
        <v>826.875</v>
      </c>
      <c r="O8" s="6">
        <f>Assumptions!$B$8/Assumptions!$B$9/G8</f>
        <v>19.607843137254903</v>
      </c>
      <c r="P8" s="6">
        <f>Assumptions!$B$10</f>
        <v>0</v>
      </c>
      <c r="Q8" s="6">
        <f>E8*D8*Assumptions!$B$11</f>
        <v>70</v>
      </c>
      <c r="R8" s="6">
        <f>(N8+O8+P8+Q8)*Assumptions!$B$12</f>
        <v>45.82414215686275</v>
      </c>
      <c r="S8" s="6">
        <f>N8+O8+P8+Q8+R8</f>
        <v>962.3069852941177</v>
      </c>
      <c r="T8" s="6">
        <f>S8/(1-Assumptions!$B$6)</f>
        <v>1045.9858535805627</v>
      </c>
      <c r="U8" s="6">
        <f>CEILING(T8,Assumptions!$B$13)</f>
        <v>1046</v>
      </c>
      <c r="V8" s="6">
        <f>U8*F8</f>
        <v>6276</v>
      </c>
      <c r="W8" s="4"/>
      <c r="X8" s="6">
        <f>IF(W8="","",W8*M8)</f>
      </c>
      <c r="Y8" s="6">
        <f>IF(W8="","",W8*S8)</f>
      </c>
    </row>
    <row r="9">
      <c r="A9" t="inlineStr" s="4">
        <is>
          <t>100427</t>
        </is>
      </c>
      <c r="B9" t="inlineStr" s="4">
        <is>
          <t>SINGLETON 18 ans Of Dufftown</t>
        </is>
      </c>
      <c r="C9" t="inlineStr" s="4">
        <is>
          <t>5000281028620</t>
        </is>
      </c>
      <c r="D9" s="5">
        <v>40</v>
      </c>
      <c r="E9" s="5">
        <v>0.7</v>
      </c>
      <c r="F9" s="5">
        <v>6</v>
      </c>
      <c r="G9" s="5">
        <v>510</v>
      </c>
      <c r="H9" s="5">
        <v>85</v>
      </c>
      <c r="I9" t="inlineStr" s="4">
        <is>
          <t>NO GB</t>
        </is>
      </c>
      <c r="J9" t="inlineStr" s="4">
        <is>
          <t>VOL MAX ?</t>
        </is>
      </c>
      <c r="K9" s="6">
        <v>54.5</v>
      </c>
      <c r="L9" s="6">
        <f>K9*Assumptions!$B$7</f>
        <v>2.725</v>
      </c>
      <c r="M9" s="6">
        <f>K9+L9</f>
        <v>57.225</v>
      </c>
      <c r="N9" s="6">
        <f>M9*Assumptions!$B$5</f>
        <v>2145.9375</v>
      </c>
      <c r="O9" s="6">
        <f>Assumptions!$B$8/Assumptions!$B$9/G9</f>
        <v>19.607843137254903</v>
      </c>
      <c r="P9" s="6">
        <f>Assumptions!$B$10</f>
        <v>0</v>
      </c>
      <c r="Q9" s="6">
        <f>E9*D9*Assumptions!$B$11</f>
        <v>70</v>
      </c>
      <c r="R9" s="6">
        <f>(N9+O9+P9+Q9)*Assumptions!$B$12</f>
        <v>111.77726715686275</v>
      </c>
      <c r="S9" s="6">
        <f>N9+O9+P9+Q9+R9</f>
        <v>2347.3226102941176</v>
      </c>
      <c r="T9" s="6">
        <f>S9/(1-Assumptions!$B$6)</f>
        <v>2551.4376198849104</v>
      </c>
      <c r="U9" s="6">
        <f>CEILING(T9,Assumptions!$B$13)</f>
        <v>2552</v>
      </c>
      <c r="V9" s="6">
        <f>U9*F9</f>
        <v>15312</v>
      </c>
      <c r="W9" s="4"/>
      <c r="X9" s="6">
        <f>IF(W9="","",W9*M9)</f>
      </c>
      <c r="Y9" s="6">
        <f>IF(W9="","",W9*S9)</f>
      </c>
    </row>
    <row r="10">
      <c r="A10" t="inlineStr" s="4">
        <is>
          <t>64481</t>
        </is>
      </c>
      <c r="B10" t="inlineStr" s="4">
        <is>
          <t>SINGLETON 12 ans Luscious Nectar</t>
        </is>
      </c>
      <c r="C10" t="inlineStr" s="4">
        <is>
          <t>5000281021621</t>
        </is>
      </c>
      <c r="D10" s="5">
        <v>40</v>
      </c>
      <c r="E10" s="5">
        <v>0.7</v>
      </c>
      <c r="F10" s="5">
        <v>6</v>
      </c>
      <c r="G10" s="5">
        <v>336</v>
      </c>
      <c r="H10" s="5">
        <v>56</v>
      </c>
      <c r="I10" t="inlineStr" s="4">
        <is>
          <t>NO GB</t>
        </is>
      </c>
      <c r="J10" s="4">
        <v>36</v>
      </c>
      <c r="K10" s="6">
        <v>11.15</v>
      </c>
      <c r="L10" s="6">
        <f>K10*Assumptions!$B$7</f>
        <v>0.5575</v>
      </c>
      <c r="M10" s="6">
        <f>K10+L10</f>
        <v>11.7075</v>
      </c>
      <c r="N10" s="6">
        <f>M10*Assumptions!$B$5</f>
        <v>439.03125</v>
      </c>
      <c r="O10" s="6">
        <f>Assumptions!$B$8/Assumptions!$B$9/G10</f>
        <v>29.761904761904763</v>
      </c>
      <c r="P10" s="6">
        <f>Assumptions!$B$10</f>
        <v>0</v>
      </c>
      <c r="Q10" s="6">
        <f>E10*D10*Assumptions!$B$11</f>
        <v>70</v>
      </c>
      <c r="R10" s="6">
        <f>(N10+O10+P10+Q10)*Assumptions!$B$12</f>
        <v>26.939657738095242</v>
      </c>
      <c r="S10" s="6">
        <f>N10+O10+P10+Q10+R10</f>
        <v>565.7328125</v>
      </c>
      <c r="T10" s="6">
        <f>S10/(1-Assumptions!$B$6)</f>
        <v>614.9269701086956</v>
      </c>
      <c r="U10" s="6">
        <f>CEILING(T10,Assumptions!$B$13)</f>
        <v>615</v>
      </c>
      <c r="V10" s="6">
        <f>U10*F10</f>
        <v>3690</v>
      </c>
      <c r="W10" s="4"/>
      <c r="X10" s="6">
        <f>IF(W10="","",W10*M10)</f>
      </c>
      <c r="Y10" s="6">
        <f>IF(W10="","",W10*S10)</f>
      </c>
    </row>
    <row r="11">
      <c r="A11" t="inlineStr" s="4">
        <is>
          <t>60921</t>
        </is>
      </c>
      <c r="B11" t="inlineStr" s="4">
        <is>
          <t>BALVENIE (The) 16 ans French Oak Pineau Cask</t>
        </is>
      </c>
      <c r="C11" t="inlineStr" s="4">
        <is>
          <t>5010275254645</t>
        </is>
      </c>
      <c r="D11" s="5">
        <v>47.6</v>
      </c>
      <c r="E11" s="5">
        <v>0.7</v>
      </c>
      <c r="F11" s="5">
        <v>6</v>
      </c>
      <c r="G11" s="5">
        <v>480</v>
      </c>
      <c r="H11" s="5">
        <v>80</v>
      </c>
      <c r="I11" t="inlineStr" s="4">
        <is>
          <t>WITH GB</t>
        </is>
      </c>
      <c r="J11" s="4">
        <v>48</v>
      </c>
      <c r="K11" s="6">
        <v>116.64</v>
      </c>
      <c r="L11" s="6">
        <f>K11*Assumptions!$B$7</f>
        <v>5.832000000000001</v>
      </c>
      <c r="M11" s="6">
        <f>K11+L11</f>
        <v>122.47200000000001</v>
      </c>
      <c r="N11" s="6">
        <f>M11*Assumptions!$B$5</f>
        <v>4592.700000000001</v>
      </c>
      <c r="O11" s="6">
        <f>Assumptions!$B$8/Assumptions!$B$9/G11</f>
        <v>20.833333333333332</v>
      </c>
      <c r="P11" s="6">
        <f>Assumptions!$B$10</f>
        <v>0</v>
      </c>
      <c r="Q11" s="6">
        <f>E11*D11*Assumptions!$B$11</f>
        <v>83.3</v>
      </c>
      <c r="R11" s="6">
        <f>(N11+O11+P11+Q11)*Assumptions!$B$12</f>
        <v>234.8416666666667</v>
      </c>
      <c r="S11" s="6">
        <f>N11+O11+P11+Q11+R11</f>
        <v>4931.675000000001</v>
      </c>
      <c r="T11" s="6">
        <f>S11/(1-Assumptions!$B$6)</f>
        <v>5360.516304347827</v>
      </c>
      <c r="U11" s="6">
        <f>CEILING(T11,Assumptions!$B$13)</f>
        <v>5361</v>
      </c>
      <c r="V11" s="6">
        <f>U11*F11</f>
        <v>32166</v>
      </c>
      <c r="W11" s="4"/>
      <c r="X11" s="6">
        <f>IF(W11="","",W11*M11)</f>
      </c>
      <c r="Y11" s="6">
        <f>IF(W11="","",W11*S11)</f>
      </c>
    </row>
    <row r="12">
      <c r="A12" t="inlineStr" s="4">
        <is>
          <t>8104</t>
        </is>
      </c>
      <c r="B12" t="inlineStr" s="4">
        <is>
          <t>BALVENIE (The) 12 ans Double Wood</t>
        </is>
      </c>
      <c r="C12" t="inlineStr" s="4">
        <is>
          <t>5010327505138</t>
        </is>
      </c>
      <c r="D12" s="5">
        <v>40</v>
      </c>
      <c r="E12" s="5">
        <v>0.7</v>
      </c>
      <c r="F12" s="5">
        <v>6</v>
      </c>
      <c r="G12" s="5">
        <v>576</v>
      </c>
      <c r="H12" s="5">
        <v>96</v>
      </c>
      <c r="I12" t="inlineStr" s="4">
        <is>
          <t>WITH GB</t>
        </is>
      </c>
      <c r="J12" t="inlineStr" s="4">
        <is>
          <t>VOL MAX ?</t>
        </is>
      </c>
      <c r="K12" s="6">
        <v>30.25</v>
      </c>
      <c r="L12" s="6">
        <f>K12*Assumptions!$B$7</f>
        <v>1.5125000000000002</v>
      </c>
      <c r="M12" s="6">
        <f>K12+L12</f>
        <v>31.7625</v>
      </c>
      <c r="N12" s="6">
        <f>M12*Assumptions!$B$5</f>
        <v>1191.09375</v>
      </c>
      <c r="O12" s="6">
        <f>Assumptions!$B$8/Assumptions!$B$9/G12</f>
        <v>17.36111111111111</v>
      </c>
      <c r="P12" s="6">
        <f>Assumptions!$B$10</f>
        <v>0</v>
      </c>
      <c r="Q12" s="6">
        <f>E12*D12*Assumptions!$B$11</f>
        <v>70</v>
      </c>
      <c r="R12" s="6">
        <f>(N12+O12+P12+Q12)*Assumptions!$B$12</f>
        <v>63.92274305555556</v>
      </c>
      <c r="S12" s="6">
        <f>N12+O12+P12+Q12+R12</f>
        <v>1342.3776041666667</v>
      </c>
      <c r="T12" s="6">
        <f>S12/(1-Assumptions!$B$6)</f>
        <v>1459.1060914855072</v>
      </c>
      <c r="U12" s="6">
        <f>CEILING(T12,Assumptions!$B$13)</f>
        <v>1460</v>
      </c>
      <c r="V12" s="6">
        <f>U12*F12</f>
        <v>8760</v>
      </c>
      <c r="W12" s="4"/>
      <c r="X12" s="6">
        <f>IF(W12="","",W12*M12)</f>
      </c>
      <c r="Y12" s="6">
        <f>IF(W12="","",W12*S12)</f>
      </c>
    </row>
    <row r="13">
      <c r="A13" t="inlineStr" s="4">
        <is>
          <t>57066</t>
        </is>
      </c>
      <c r="B13" t="inlineStr" s="4">
        <is>
          <t>BALVENIE (The) 12 ans The Sweet Toast of American Oak</t>
        </is>
      </c>
      <c r="C13" t="inlineStr" s="4">
        <is>
          <t>5010327525167</t>
        </is>
      </c>
      <c r="D13" s="5">
        <v>43</v>
      </c>
      <c r="E13" s="5">
        <v>0.7</v>
      </c>
      <c r="F13" s="5">
        <v>6</v>
      </c>
      <c r="G13" s="5">
        <v>480</v>
      </c>
      <c r="H13" s="5">
        <v>80</v>
      </c>
      <c r="I13" t="inlineStr" s="4">
        <is>
          <t>WITH GB</t>
        </is>
      </c>
      <c r="J13" s="4">
        <v>60</v>
      </c>
      <c r="K13" s="6">
        <v>35.5</v>
      </c>
      <c r="L13" s="6">
        <f>K13*Assumptions!$B$7</f>
        <v>1.7750000000000001</v>
      </c>
      <c r="M13" s="6">
        <f>K13+L13</f>
        <v>37.275</v>
      </c>
      <c r="N13" s="6">
        <f>M13*Assumptions!$B$5</f>
        <v>1397.8125</v>
      </c>
      <c r="O13" s="6">
        <f>Assumptions!$B$8/Assumptions!$B$9/G13</f>
        <v>20.833333333333332</v>
      </c>
      <c r="P13" s="6">
        <f>Assumptions!$B$10</f>
        <v>0</v>
      </c>
      <c r="Q13" s="6">
        <f>E13*D13*Assumptions!$B$11</f>
        <v>75.25</v>
      </c>
      <c r="R13" s="6">
        <f>(N13+O13+P13+Q13)*Assumptions!$B$12</f>
        <v>74.69479166666666</v>
      </c>
      <c r="S13" s="6">
        <f>N13+O13+P13+Q13+R13</f>
        <v>1568.5906249999998</v>
      </c>
      <c r="T13" s="6">
        <f>S13/(1-Assumptions!$B$6)</f>
        <v>1704.9898097826085</v>
      </c>
      <c r="U13" s="6">
        <f>CEILING(T13,Assumptions!$B$13)</f>
        <v>1705</v>
      </c>
      <c r="V13" s="6">
        <f>U13*F13</f>
        <v>10230</v>
      </c>
      <c r="W13" s="4"/>
      <c r="X13" s="6">
        <f>IF(W13="","",W13*M13)</f>
      </c>
      <c r="Y13" s="6">
        <f>IF(W13="","",W13*S13)</f>
      </c>
    </row>
  </sheetData>
  <autoFilter ref="A4:Y13"/>
  <mergeCells count="2">
    <mergeCell ref="A1:Y1"/>
    <mergeCell ref="A2:Y2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0" customWidth="1"/>
    <col min="2" max="2" width="18" customWidth="1"/>
    <col min="3" max="3" width="58" customWidth="1"/>
  </cols>
  <sheetData>
    <row r="1" ht="28" customHeight="1">
      <c r="A1" t="inlineStr" s="1">
        <is>
          <t>成本假設</t>
        </is>
      </c>
    </row>
    <row r="2">
      <c r="A2" t="inlineStr" s="2">
        <is>
          <t>黃色欄位可依實際進口成本調整；目前含出口國內陸成本 5%、20 呎櫃運費攤提、酒稅與 5% 營業稅，並用 8% 毛利率計算每瓶台幣報價。</t>
        </is>
      </c>
    </row>
    <row r="4">
      <c r="A4" t="inlineStr" s="3">
        <is>
          <t>項目</t>
        </is>
      </c>
      <c r="B4" t="inlineStr" s="3">
        <is>
          <t>數值</t>
        </is>
      </c>
      <c r="C4" t="inlineStr" s="3">
        <is>
          <t>備註</t>
        </is>
      </c>
    </row>
    <row r="5">
      <c r="A5" t="inlineStr" s="4">
        <is>
          <t>EUR/TWD 匯率</t>
        </is>
      </c>
      <c r="B5" s="4">
        <v>37.5</v>
      </c>
      <c r="C5" t="inlineStr" s="9">
        <is>
          <t>報價用匯率</t>
        </is>
      </c>
    </row>
    <row r="6">
      <c r="A6" t="inlineStr" s="4">
        <is>
          <t>毛利率</t>
        </is>
      </c>
      <c r="B6" s="7">
        <v>0.08</v>
      </c>
      <c r="C6" t="inlineStr" s="9">
        <is>
          <t>售價 = 成本 / (1 - 毛利率)</t>
        </is>
      </c>
    </row>
    <row r="7">
      <c r="A7" t="inlineStr" s="4">
        <is>
          <t>出口國內陸成本率</t>
        </is>
      </c>
      <c r="B7" s="7">
        <v>0.05</v>
      </c>
      <c r="C7" t="inlineStr" s="9">
        <is>
          <t>以原幣單價 × 本欄估算</t>
        </is>
      </c>
    </row>
    <row r="8">
      <c r="A8" t="inlineStr" s="4">
        <is>
          <t>20呎貨櫃運費</t>
        </is>
      </c>
      <c r="B8" s="4">
        <v>100000</v>
      </c>
      <c r="C8" t="inlineStr" s="9">
        <is>
          <t>TWD / container</t>
        </is>
      </c>
    </row>
    <row r="9">
      <c r="A9" t="inlineStr" s="4">
        <is>
          <t>每櫃攤提板數</t>
        </is>
      </c>
      <c r="B9" s="4">
        <v>10</v>
      </c>
      <c r="C9" t="inlineStr" s="9">
        <is>
          <t>pallets / container</t>
        </is>
      </c>
    </row>
    <row r="10">
      <c r="A10" t="inlineStr" s="4">
        <is>
          <t>每瓶保險/其他運雜費</t>
        </is>
      </c>
      <c r="B10" s="4">
        <v>0</v>
      </c>
      <c r="C10" t="inlineStr" s="9">
        <is>
          <t>TWD / bottle</t>
        </is>
      </c>
    </row>
    <row r="11">
      <c r="A11" t="inlineStr" s="4">
        <is>
          <t>酒稅：每公升每度</t>
        </is>
      </c>
      <c r="B11" s="4">
        <v>2.5</v>
      </c>
      <c r="C11" t="inlineStr" s="9">
        <is>
          <t>TWD；公式 = 容量L × 酒精度數 × 本欄</t>
        </is>
      </c>
    </row>
    <row r="12">
      <c r="A12" t="inlineStr" s="4">
        <is>
          <t>營業稅率</t>
        </is>
      </c>
      <c r="B12" s="7">
        <v>0.05</v>
      </c>
      <c r="C12" t="inlineStr" s="9">
        <is>
          <t>公式暫用 (台幣成本+運費+其他費用+酒稅) × 5%</t>
        </is>
      </c>
    </row>
    <row r="13">
      <c r="A13" t="inlineStr" s="4">
        <is>
          <t>售價尾數進位</t>
        </is>
      </c>
      <c r="B13" s="4">
        <v>1</v>
      </c>
      <c r="C13" t="inlineStr" s="9">
        <is>
          <t>1 = 元；10 = 十元</t>
        </is>
      </c>
    </row>
    <row r="16">
      <c r="A16" t="inlineStr" s="3">
        <is>
          <t>匯率說明</t>
        </is>
      </c>
      <c r="B16" t="inlineStr" s="9">
        <is>
          <t>本版依指示使用 EUR/TWD = 37.5</t>
        </is>
      </c>
    </row>
  </sheetData>
  <mergeCells count="3">
    <mergeCell ref="A1:C1"/>
    <mergeCell ref="A2:C2"/>
    <mergeCell ref="B16:C16"/>
  </mergeCells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4" topLeftCell="A5" activePane="bottomRight" state="frozen"/>
      <selection pane="bottomRight" activeCell="A5" sqref="A5"/>
    </sheetView>
  </sheetViews>
  <cols>
    <col min="1" max="1" width="10" customWidth="1"/>
    <col min="2" max="2" width="52" customWidth="1"/>
    <col min="3" max="3" width="18" customWidth="1"/>
    <col min="4" max="4" width="14" customWidth="1"/>
    <col min="5" max="5" width="14" customWidth="1"/>
    <col min="6" max="6" width="8" customWidth="1"/>
    <col min="7" max="7" width="14" customWidth="1"/>
    <col min="8" max="8" width="18" customWidth="1"/>
    <col min="9" max="9" width="52" customWidth="1"/>
    <col min="10" max="10" width="14" customWidth="1"/>
    <col min="11" max="11" width="14" customWidth="1"/>
    <col min="12" max="12" width="12" customWidth="1"/>
    <col min="13" max="13" width="16" customWidth="1"/>
  </cols>
  <sheetData>
    <row r="1" ht="28" customHeight="1">
      <c r="A1" t="inlineStr" s="1">
        <is>
          <t>零售價毛利比較</t>
        </is>
      </c>
    </row>
    <row r="2">
      <c r="A2" t="inlineStr" s="2">
        <is>
          <t>查到公開零售價時填在黃色欄位；總成本與建議報價會從 Cost_Quote 自動帶入，並計算每個零售價下剩下的毛利。</t>
        </is>
      </c>
    </row>
    <row r="4">
      <c r="A4" t="inlineStr" s="3">
        <is>
          <t>CODE</t>
        </is>
      </c>
      <c r="B4" t="inlineStr" s="3">
        <is>
          <t>品名</t>
        </is>
      </c>
      <c r="C4" t="inlineStr" s="3">
        <is>
          <t>EAN</t>
        </is>
      </c>
      <c r="D4" t="inlineStr" s="3">
        <is>
          <t>總成本/瓶</t>
        </is>
      </c>
      <c r="E4" t="inlineStr" s="3">
        <is>
          <t>建議報價/瓶</t>
        </is>
      </c>
      <c r="F4" t="inlineStr" s="3">
        <is>
          <t>價格序</t>
        </is>
      </c>
      <c r="G4" t="inlineStr" s="3">
        <is>
          <t>零售價/瓶</t>
        </is>
      </c>
      <c r="H4" t="inlineStr" s="3">
        <is>
          <t>來源/店家</t>
        </is>
      </c>
      <c r="I4" t="inlineStr" s="3">
        <is>
          <t>網址/備註</t>
        </is>
      </c>
      <c r="J4" t="inlineStr" s="3">
        <is>
          <t>查價日期</t>
        </is>
      </c>
      <c r="K4" t="inlineStr" s="3">
        <is>
          <t>零售毛利額</t>
        </is>
      </c>
      <c r="L4" t="inlineStr" s="3">
        <is>
          <t>零售毛利率</t>
        </is>
      </c>
      <c r="M4" t="inlineStr" s="3">
        <is>
          <t>與建議報價差額</t>
        </is>
      </c>
    </row>
    <row r="5">
      <c r="A5" t="inlineStr" s="4">
        <is>
          <t>68399</t>
        </is>
      </c>
      <c r="B5" t="inlineStr" s="4">
        <is>
          <t>JOHNNIE WALKER 12 ans Black Label</t>
        </is>
      </c>
      <c r="C5" t="inlineStr" s="4">
        <is>
          <t>5000267024202</t>
        </is>
      </c>
      <c r="D5" s="6">
        <f>INDEX(Cost_Quote!$S:$S,MATCH($A5,Cost_Quote!$A:$A,0))</f>
      </c>
      <c r="E5" s="6">
        <f>INDEX(Cost_Quote!$U:$U,MATCH($A5,Cost_Quote!$A:$A,0))</f>
      </c>
      <c r="F5" s="5">
        <v>1</v>
      </c>
      <c r="G5" s="4"/>
      <c r="H5" s="4"/>
      <c r="I5" t="inlineStr" s="9">
        <is>
          <t>公開搜尋未取得可靠台灣零售價；待人工補入店家資料</t>
        </is>
      </c>
      <c r="J5" t="inlineStr" s="4">
        <is>
          <t>2026-06-20</t>
        </is>
      </c>
      <c r="K5" s="6">
        <f>IF($G5="","",$G5-$D5)</f>
      </c>
      <c r="L5" s="7">
        <f>IFERROR($K5/$G5,"")</f>
      </c>
      <c r="M5" s="6">
        <f>IF($G5="","",$G5-$E5)</f>
      </c>
    </row>
    <row r="6">
      <c r="A6" t="inlineStr" s="4">
        <is>
          <t>68399</t>
        </is>
      </c>
      <c r="B6" t="inlineStr" s="4">
        <is>
          <t>JOHNNIE WALKER 12 ans Black Label</t>
        </is>
      </c>
      <c r="C6" t="inlineStr" s="4">
        <is>
          <t>5000267024202</t>
        </is>
      </c>
      <c r="D6" s="6">
        <f>INDEX(Cost_Quote!$S:$S,MATCH($A6,Cost_Quote!$A:$A,0))</f>
      </c>
      <c r="E6" s="6">
        <f>INDEX(Cost_Quote!$U:$U,MATCH($A6,Cost_Quote!$A:$A,0))</f>
      </c>
      <c r="F6" s="5">
        <v>2</v>
      </c>
      <c r="G6" s="4"/>
      <c r="H6" s="4"/>
      <c r="I6" s="9"/>
      <c r="J6" s="4"/>
      <c r="K6" s="6">
        <f>IF($G6="","",$G6-$D6)</f>
      </c>
      <c r="L6" s="7">
        <f>IFERROR($K6/$G6,"")</f>
      </c>
      <c r="M6" s="6">
        <f>IF($G6="","",$G6-$E6)</f>
      </c>
    </row>
    <row r="7">
      <c r="A7" t="inlineStr" s="4">
        <is>
          <t>68399</t>
        </is>
      </c>
      <c r="B7" t="inlineStr" s="4">
        <is>
          <t>JOHNNIE WALKER 12 ans Black Label</t>
        </is>
      </c>
      <c r="C7" t="inlineStr" s="4">
        <is>
          <t>5000267024202</t>
        </is>
      </c>
      <c r="D7" s="6">
        <f>INDEX(Cost_Quote!$S:$S,MATCH($A7,Cost_Quote!$A:$A,0))</f>
      </c>
      <c r="E7" s="6">
        <f>INDEX(Cost_Quote!$U:$U,MATCH($A7,Cost_Quote!$A:$A,0))</f>
      </c>
      <c r="F7" s="5">
        <v>3</v>
      </c>
      <c r="G7" s="4"/>
      <c r="H7" s="4"/>
      <c r="I7" s="9"/>
      <c r="J7" s="4"/>
      <c r="K7" s="6">
        <f>IF($G7="","",$G7-$D7)</f>
      </c>
      <c r="L7" s="7">
        <f>IFERROR($K7/$G7,"")</f>
      </c>
      <c r="M7" s="6">
        <f>IF($G7="","",$G7-$E7)</f>
      </c>
    </row>
    <row r="8">
      <c r="A8" t="inlineStr" s="4">
        <is>
          <t>68397</t>
        </is>
      </c>
      <c r="B8" t="inlineStr" s="4">
        <is>
          <t>JOHNNIE WALKER 15 ans Green Label</t>
        </is>
      </c>
      <c r="C8" t="inlineStr" s="4">
        <is>
          <t>5000267199443</t>
        </is>
      </c>
      <c r="D8" s="6">
        <f>INDEX(Cost_Quote!$S:$S,MATCH($A8,Cost_Quote!$A:$A,0))</f>
      </c>
      <c r="E8" s="6">
        <f>INDEX(Cost_Quote!$U:$U,MATCH($A8,Cost_Quote!$A:$A,0))</f>
      </c>
      <c r="F8" s="5">
        <v>1</v>
      </c>
      <c r="G8" s="4"/>
      <c r="H8" s="4"/>
      <c r="I8" t="inlineStr" s="9">
        <is>
          <t>公開搜尋未取得可靠台灣零售價；待人工補入店家資料</t>
        </is>
      </c>
      <c r="J8" t="inlineStr" s="4">
        <is>
          <t>2026-06-20</t>
        </is>
      </c>
      <c r="K8" s="6">
        <f>IF($G8="","",$G8-$D8)</f>
      </c>
      <c r="L8" s="7">
        <f>IFERROR($K8/$G8,"")</f>
      </c>
      <c r="M8" s="6">
        <f>IF($G8="","",$G8-$E8)</f>
      </c>
    </row>
    <row r="9">
      <c r="A9" t="inlineStr" s="4">
        <is>
          <t>68397</t>
        </is>
      </c>
      <c r="B9" t="inlineStr" s="4">
        <is>
          <t>JOHNNIE WALKER 15 ans Green Label</t>
        </is>
      </c>
      <c r="C9" t="inlineStr" s="4">
        <is>
          <t>5000267199443</t>
        </is>
      </c>
      <c r="D9" s="6">
        <f>INDEX(Cost_Quote!$S:$S,MATCH($A9,Cost_Quote!$A:$A,0))</f>
      </c>
      <c r="E9" s="6">
        <f>INDEX(Cost_Quote!$U:$U,MATCH($A9,Cost_Quote!$A:$A,0))</f>
      </c>
      <c r="F9" s="5">
        <v>2</v>
      </c>
      <c r="G9" s="4"/>
      <c r="H9" s="4"/>
      <c r="I9" s="9"/>
      <c r="J9" s="4"/>
      <c r="K9" s="6">
        <f>IF($G9="","",$G9-$D9)</f>
      </c>
      <c r="L9" s="7">
        <f>IFERROR($K9/$G9,"")</f>
      </c>
      <c r="M9" s="6">
        <f>IF($G9="","",$G9-$E9)</f>
      </c>
    </row>
    <row r="10">
      <c r="A10" t="inlineStr" s="4">
        <is>
          <t>68397</t>
        </is>
      </c>
      <c r="B10" t="inlineStr" s="4">
        <is>
          <t>JOHNNIE WALKER 15 ans Green Label</t>
        </is>
      </c>
      <c r="C10" t="inlineStr" s="4">
        <is>
          <t>5000267199443</t>
        </is>
      </c>
      <c r="D10" s="6">
        <f>INDEX(Cost_Quote!$S:$S,MATCH($A10,Cost_Quote!$A:$A,0))</f>
      </c>
      <c r="E10" s="6">
        <f>INDEX(Cost_Quote!$U:$U,MATCH($A10,Cost_Quote!$A:$A,0))</f>
      </c>
      <c r="F10" s="5">
        <v>3</v>
      </c>
      <c r="G10" s="4"/>
      <c r="H10" s="4"/>
      <c r="I10" s="9"/>
      <c r="J10" s="4"/>
      <c r="K10" s="6">
        <f>IF($G10="","",$G10-$D10)</f>
      </c>
      <c r="L10" s="7">
        <f>IFERROR($K10/$G10,"")</f>
      </c>
      <c r="M10" s="6">
        <f>IF($G10="","",$G10-$E10)</f>
      </c>
    </row>
    <row r="11">
      <c r="A11" t="inlineStr" s="4">
        <is>
          <t>68392</t>
        </is>
      </c>
      <c r="B11" t="inlineStr" s="4">
        <is>
          <t>JOHNNIE WALKER Blue Label</t>
        </is>
      </c>
      <c r="C11" t="inlineStr" s="4">
        <is>
          <t>5000267115245</t>
        </is>
      </c>
      <c r="D11" s="6">
        <f>INDEX(Cost_Quote!$S:$S,MATCH($A11,Cost_Quote!$A:$A,0))</f>
      </c>
      <c r="E11" s="6">
        <f>INDEX(Cost_Quote!$U:$U,MATCH($A11,Cost_Quote!$A:$A,0))</f>
      </c>
      <c r="F11" s="5">
        <v>1</v>
      </c>
      <c r="G11" s="4"/>
      <c r="H11" s="4"/>
      <c r="I11" t="inlineStr" s="9">
        <is>
          <t>公開搜尋未取得可靠台灣零售價；待人工補入店家資料</t>
        </is>
      </c>
      <c r="J11" t="inlineStr" s="4">
        <is>
          <t>2026-06-20</t>
        </is>
      </c>
      <c r="K11" s="6">
        <f>IF($G11="","",$G11-$D11)</f>
      </c>
      <c r="L11" s="7">
        <f>IFERROR($K11/$G11,"")</f>
      </c>
      <c r="M11" s="6">
        <f>IF($G11="","",$G11-$E11)</f>
      </c>
    </row>
    <row r="12">
      <c r="A12" t="inlineStr" s="4">
        <is>
          <t>68392</t>
        </is>
      </c>
      <c r="B12" t="inlineStr" s="4">
        <is>
          <t>JOHNNIE WALKER Blue Label</t>
        </is>
      </c>
      <c r="C12" t="inlineStr" s="4">
        <is>
          <t>5000267115245</t>
        </is>
      </c>
      <c r="D12" s="6">
        <f>INDEX(Cost_Quote!$S:$S,MATCH($A12,Cost_Quote!$A:$A,0))</f>
      </c>
      <c r="E12" s="6">
        <f>INDEX(Cost_Quote!$U:$U,MATCH($A12,Cost_Quote!$A:$A,0))</f>
      </c>
      <c r="F12" s="5">
        <v>2</v>
      </c>
      <c r="G12" s="4"/>
      <c r="H12" s="4"/>
      <c r="I12" s="9"/>
      <c r="J12" s="4"/>
      <c r="K12" s="6">
        <f>IF($G12="","",$G12-$D12)</f>
      </c>
      <c r="L12" s="7">
        <f>IFERROR($K12/$G12,"")</f>
      </c>
      <c r="M12" s="6">
        <f>IF($G12="","",$G12-$E12)</f>
      </c>
    </row>
    <row r="13">
      <c r="A13" t="inlineStr" s="4">
        <is>
          <t>68392</t>
        </is>
      </c>
      <c r="B13" t="inlineStr" s="4">
        <is>
          <t>JOHNNIE WALKER Blue Label</t>
        </is>
      </c>
      <c r="C13" t="inlineStr" s="4">
        <is>
          <t>5000267115245</t>
        </is>
      </c>
      <c r="D13" s="6">
        <f>INDEX(Cost_Quote!$S:$S,MATCH($A13,Cost_Quote!$A:$A,0))</f>
      </c>
      <c r="E13" s="6">
        <f>INDEX(Cost_Quote!$U:$U,MATCH($A13,Cost_Quote!$A:$A,0))</f>
      </c>
      <c r="F13" s="5">
        <v>3</v>
      </c>
      <c r="G13" s="4"/>
      <c r="H13" s="4"/>
      <c r="I13" s="9"/>
      <c r="J13" s="4"/>
      <c r="K13" s="6">
        <f>IF($G13="","",$G13-$D13)</f>
      </c>
      <c r="L13" s="7">
        <f>IFERROR($K13/$G13,"")</f>
      </c>
      <c r="M13" s="6">
        <f>IF($G13="","",$G13-$E13)</f>
      </c>
    </row>
    <row r="14">
      <c r="A14" t="inlineStr" s="4">
        <is>
          <t>17261</t>
        </is>
      </c>
      <c r="B14" t="inlineStr" s="4">
        <is>
          <t>SINGLETON 15 ans Of Dufftown</t>
        </is>
      </c>
      <c r="C14" t="inlineStr" s="4">
        <is>
          <t>5000281026626</t>
        </is>
      </c>
      <c r="D14" s="6">
        <f>INDEX(Cost_Quote!$S:$S,MATCH($A14,Cost_Quote!$A:$A,0))</f>
      </c>
      <c r="E14" s="6">
        <f>INDEX(Cost_Quote!$U:$U,MATCH($A14,Cost_Quote!$A:$A,0))</f>
      </c>
      <c r="F14" s="5">
        <v>1</v>
      </c>
      <c r="G14" s="4"/>
      <c r="H14" s="4"/>
      <c r="I14" t="inlineStr" s="9">
        <is>
          <t>公開搜尋未取得可靠台灣零售價；待人工補入店家資料</t>
        </is>
      </c>
      <c r="J14" t="inlineStr" s="4">
        <is>
          <t>2026-06-20</t>
        </is>
      </c>
      <c r="K14" s="6">
        <f>IF($G14="","",$G14-$D14)</f>
      </c>
      <c r="L14" s="7">
        <f>IFERROR($K14/$G14,"")</f>
      </c>
      <c r="M14" s="6">
        <f>IF($G14="","",$G14-$E14)</f>
      </c>
    </row>
    <row r="15">
      <c r="A15" t="inlineStr" s="4">
        <is>
          <t>17261</t>
        </is>
      </c>
      <c r="B15" t="inlineStr" s="4">
        <is>
          <t>SINGLETON 15 ans Of Dufftown</t>
        </is>
      </c>
      <c r="C15" t="inlineStr" s="4">
        <is>
          <t>5000281026626</t>
        </is>
      </c>
      <c r="D15" s="6">
        <f>INDEX(Cost_Quote!$S:$S,MATCH($A15,Cost_Quote!$A:$A,0))</f>
      </c>
      <c r="E15" s="6">
        <f>INDEX(Cost_Quote!$U:$U,MATCH($A15,Cost_Quote!$A:$A,0))</f>
      </c>
      <c r="F15" s="5">
        <v>2</v>
      </c>
      <c r="G15" s="4"/>
      <c r="H15" s="4"/>
      <c r="I15" s="9"/>
      <c r="J15" s="4"/>
      <c r="K15" s="6">
        <f>IF($G15="","",$G15-$D15)</f>
      </c>
      <c r="L15" s="7">
        <f>IFERROR($K15/$G15,"")</f>
      </c>
      <c r="M15" s="6">
        <f>IF($G15="","",$G15-$E15)</f>
      </c>
    </row>
    <row r="16">
      <c r="A16" t="inlineStr" s="4">
        <is>
          <t>17261</t>
        </is>
      </c>
      <c r="B16" t="inlineStr" s="4">
        <is>
          <t>SINGLETON 15 ans Of Dufftown</t>
        </is>
      </c>
      <c r="C16" t="inlineStr" s="4">
        <is>
          <t>5000281026626</t>
        </is>
      </c>
      <c r="D16" s="6">
        <f>INDEX(Cost_Quote!$S:$S,MATCH($A16,Cost_Quote!$A:$A,0))</f>
      </c>
      <c r="E16" s="6">
        <f>INDEX(Cost_Quote!$U:$U,MATCH($A16,Cost_Quote!$A:$A,0))</f>
      </c>
      <c r="F16" s="5">
        <v>3</v>
      </c>
      <c r="G16" s="4"/>
      <c r="H16" s="4"/>
      <c r="I16" s="9"/>
      <c r="J16" s="4"/>
      <c r="K16" s="6">
        <f>IF($G16="","",$G16-$D16)</f>
      </c>
      <c r="L16" s="7">
        <f>IFERROR($K16/$G16,"")</f>
      </c>
      <c r="M16" s="6">
        <f>IF($G16="","",$G16-$E16)</f>
      </c>
    </row>
    <row r="17">
      <c r="A17" t="inlineStr" s="4">
        <is>
          <t>100427</t>
        </is>
      </c>
      <c r="B17" t="inlineStr" s="4">
        <is>
          <t>SINGLETON 18 ans Of Dufftown</t>
        </is>
      </c>
      <c r="C17" t="inlineStr" s="4">
        <is>
          <t>5000281028620</t>
        </is>
      </c>
      <c r="D17" s="6">
        <f>INDEX(Cost_Quote!$S:$S,MATCH($A17,Cost_Quote!$A:$A,0))</f>
      </c>
      <c r="E17" s="6">
        <f>INDEX(Cost_Quote!$U:$U,MATCH($A17,Cost_Quote!$A:$A,0))</f>
      </c>
      <c r="F17" s="5">
        <v>1</v>
      </c>
      <c r="G17" s="4"/>
      <c r="H17" s="4"/>
      <c r="I17" t="inlineStr" s="9">
        <is>
          <t>公開搜尋未取得可靠台灣零售價；待人工補入店家資料</t>
        </is>
      </c>
      <c r="J17" t="inlineStr" s="4">
        <is>
          <t>2026-06-20</t>
        </is>
      </c>
      <c r="K17" s="6">
        <f>IF($G17="","",$G17-$D17)</f>
      </c>
      <c r="L17" s="7">
        <f>IFERROR($K17/$G17,"")</f>
      </c>
      <c r="M17" s="6">
        <f>IF($G17="","",$G17-$E17)</f>
      </c>
    </row>
    <row r="18">
      <c r="A18" t="inlineStr" s="4">
        <is>
          <t>100427</t>
        </is>
      </c>
      <c r="B18" t="inlineStr" s="4">
        <is>
          <t>SINGLETON 18 ans Of Dufftown</t>
        </is>
      </c>
      <c r="C18" t="inlineStr" s="4">
        <is>
          <t>5000281028620</t>
        </is>
      </c>
      <c r="D18" s="6">
        <f>INDEX(Cost_Quote!$S:$S,MATCH($A18,Cost_Quote!$A:$A,0))</f>
      </c>
      <c r="E18" s="6">
        <f>INDEX(Cost_Quote!$U:$U,MATCH($A18,Cost_Quote!$A:$A,0))</f>
      </c>
      <c r="F18" s="5">
        <v>2</v>
      </c>
      <c r="G18" s="4"/>
      <c r="H18" s="4"/>
      <c r="I18" s="9"/>
      <c r="J18" s="4"/>
      <c r="K18" s="6">
        <f>IF($G18="","",$G18-$D18)</f>
      </c>
      <c r="L18" s="7">
        <f>IFERROR($K18/$G18,"")</f>
      </c>
      <c r="M18" s="6">
        <f>IF($G18="","",$G18-$E18)</f>
      </c>
    </row>
    <row r="19">
      <c r="A19" t="inlineStr" s="4">
        <is>
          <t>100427</t>
        </is>
      </c>
      <c r="B19" t="inlineStr" s="4">
        <is>
          <t>SINGLETON 18 ans Of Dufftown</t>
        </is>
      </c>
      <c r="C19" t="inlineStr" s="4">
        <is>
          <t>5000281028620</t>
        </is>
      </c>
      <c r="D19" s="6">
        <f>INDEX(Cost_Quote!$S:$S,MATCH($A19,Cost_Quote!$A:$A,0))</f>
      </c>
      <c r="E19" s="6">
        <f>INDEX(Cost_Quote!$U:$U,MATCH($A19,Cost_Quote!$A:$A,0))</f>
      </c>
      <c r="F19" s="5">
        <v>3</v>
      </c>
      <c r="G19" s="4"/>
      <c r="H19" s="4"/>
      <c r="I19" s="9"/>
      <c r="J19" s="4"/>
      <c r="K19" s="6">
        <f>IF($G19="","",$G19-$D19)</f>
      </c>
      <c r="L19" s="7">
        <f>IFERROR($K19/$G19,"")</f>
      </c>
      <c r="M19" s="6">
        <f>IF($G19="","",$G19-$E19)</f>
      </c>
    </row>
    <row r="20">
      <c r="A20" t="inlineStr" s="4">
        <is>
          <t>64481</t>
        </is>
      </c>
      <c r="B20" t="inlineStr" s="4">
        <is>
          <t>SINGLETON 12 ans Luscious Nectar</t>
        </is>
      </c>
      <c r="C20" t="inlineStr" s="4">
        <is>
          <t>5000281021621</t>
        </is>
      </c>
      <c r="D20" s="6">
        <f>INDEX(Cost_Quote!$S:$S,MATCH($A20,Cost_Quote!$A:$A,0))</f>
      </c>
      <c r="E20" s="6">
        <f>INDEX(Cost_Quote!$U:$U,MATCH($A20,Cost_Quote!$A:$A,0))</f>
      </c>
      <c r="F20" s="5">
        <v>1</v>
      </c>
      <c r="G20" s="4"/>
      <c r="H20" s="4"/>
      <c r="I20" t="inlineStr" s="9">
        <is>
          <t>公開搜尋未取得可靠台灣零售價；待人工補入店家資料</t>
        </is>
      </c>
      <c r="J20" t="inlineStr" s="4">
        <is>
          <t>2026-06-20</t>
        </is>
      </c>
      <c r="K20" s="6">
        <f>IF($G20="","",$G20-$D20)</f>
      </c>
      <c r="L20" s="7">
        <f>IFERROR($K20/$G20,"")</f>
      </c>
      <c r="M20" s="6">
        <f>IF($G20="","",$G20-$E20)</f>
      </c>
    </row>
    <row r="21">
      <c r="A21" t="inlineStr" s="4">
        <is>
          <t>64481</t>
        </is>
      </c>
      <c r="B21" t="inlineStr" s="4">
        <is>
          <t>SINGLETON 12 ans Luscious Nectar</t>
        </is>
      </c>
      <c r="C21" t="inlineStr" s="4">
        <is>
          <t>5000281021621</t>
        </is>
      </c>
      <c r="D21" s="6">
        <f>INDEX(Cost_Quote!$S:$S,MATCH($A21,Cost_Quote!$A:$A,0))</f>
      </c>
      <c r="E21" s="6">
        <f>INDEX(Cost_Quote!$U:$U,MATCH($A21,Cost_Quote!$A:$A,0))</f>
      </c>
      <c r="F21" s="5">
        <v>2</v>
      </c>
      <c r="G21" s="4"/>
      <c r="H21" s="4"/>
      <c r="I21" s="9"/>
      <c r="J21" s="4"/>
      <c r="K21" s="6">
        <f>IF($G21="","",$G21-$D21)</f>
      </c>
      <c r="L21" s="7">
        <f>IFERROR($K21/$G21,"")</f>
      </c>
      <c r="M21" s="6">
        <f>IF($G21="","",$G21-$E21)</f>
      </c>
    </row>
    <row r="22">
      <c r="A22" t="inlineStr" s="4">
        <is>
          <t>64481</t>
        </is>
      </c>
      <c r="B22" t="inlineStr" s="4">
        <is>
          <t>SINGLETON 12 ans Luscious Nectar</t>
        </is>
      </c>
      <c r="C22" t="inlineStr" s="4">
        <is>
          <t>5000281021621</t>
        </is>
      </c>
      <c r="D22" s="6">
        <f>INDEX(Cost_Quote!$S:$S,MATCH($A22,Cost_Quote!$A:$A,0))</f>
      </c>
      <c r="E22" s="6">
        <f>INDEX(Cost_Quote!$U:$U,MATCH($A22,Cost_Quote!$A:$A,0))</f>
      </c>
      <c r="F22" s="5">
        <v>3</v>
      </c>
      <c r="G22" s="4"/>
      <c r="H22" s="4"/>
      <c r="I22" s="9"/>
      <c r="J22" s="4"/>
      <c r="K22" s="6">
        <f>IF($G22="","",$G22-$D22)</f>
      </c>
      <c r="L22" s="7">
        <f>IFERROR($K22/$G22,"")</f>
      </c>
      <c r="M22" s="6">
        <f>IF($G22="","",$G22-$E22)</f>
      </c>
    </row>
    <row r="23">
      <c r="A23" t="inlineStr" s="4">
        <is>
          <t>60921</t>
        </is>
      </c>
      <c r="B23" t="inlineStr" s="4">
        <is>
          <t>BALVENIE (The) 16 ans French Oak Pineau Cask</t>
        </is>
      </c>
      <c r="C23" t="inlineStr" s="4">
        <is>
          <t>5010275254645</t>
        </is>
      </c>
      <c r="D23" s="6">
        <f>INDEX(Cost_Quote!$S:$S,MATCH($A23,Cost_Quote!$A:$A,0))</f>
      </c>
      <c r="E23" s="6">
        <f>INDEX(Cost_Quote!$U:$U,MATCH($A23,Cost_Quote!$A:$A,0))</f>
      </c>
      <c r="F23" s="5">
        <v>1</v>
      </c>
      <c r="G23" s="4"/>
      <c r="H23" s="4"/>
      <c r="I23" t="inlineStr" s="9">
        <is>
          <t>公開搜尋未取得可靠台灣零售價；待人工補入店家資料</t>
        </is>
      </c>
      <c r="J23" t="inlineStr" s="4">
        <is>
          <t>2026-06-20</t>
        </is>
      </c>
      <c r="K23" s="6">
        <f>IF($G23="","",$G23-$D23)</f>
      </c>
      <c r="L23" s="7">
        <f>IFERROR($K23/$G23,"")</f>
      </c>
      <c r="M23" s="6">
        <f>IF($G23="","",$G23-$E23)</f>
      </c>
    </row>
    <row r="24">
      <c r="A24" t="inlineStr" s="4">
        <is>
          <t>60921</t>
        </is>
      </c>
      <c r="B24" t="inlineStr" s="4">
        <is>
          <t>BALVENIE (The) 16 ans French Oak Pineau Cask</t>
        </is>
      </c>
      <c r="C24" t="inlineStr" s="4">
        <is>
          <t>5010275254645</t>
        </is>
      </c>
      <c r="D24" s="6">
        <f>INDEX(Cost_Quote!$S:$S,MATCH($A24,Cost_Quote!$A:$A,0))</f>
      </c>
      <c r="E24" s="6">
        <f>INDEX(Cost_Quote!$U:$U,MATCH($A24,Cost_Quote!$A:$A,0))</f>
      </c>
      <c r="F24" s="5">
        <v>2</v>
      </c>
      <c r="G24" s="4"/>
      <c r="H24" s="4"/>
      <c r="I24" s="9"/>
      <c r="J24" s="4"/>
      <c r="K24" s="6">
        <f>IF($G24="","",$G24-$D24)</f>
      </c>
      <c r="L24" s="7">
        <f>IFERROR($K24/$G24,"")</f>
      </c>
      <c r="M24" s="6">
        <f>IF($G24="","",$G24-$E24)</f>
      </c>
    </row>
    <row r="25">
      <c r="A25" t="inlineStr" s="4">
        <is>
          <t>60921</t>
        </is>
      </c>
      <c r="B25" t="inlineStr" s="4">
        <is>
          <t>BALVENIE (The) 16 ans French Oak Pineau Cask</t>
        </is>
      </c>
      <c r="C25" t="inlineStr" s="4">
        <is>
          <t>5010275254645</t>
        </is>
      </c>
      <c r="D25" s="6">
        <f>INDEX(Cost_Quote!$S:$S,MATCH($A25,Cost_Quote!$A:$A,0))</f>
      </c>
      <c r="E25" s="6">
        <f>INDEX(Cost_Quote!$U:$U,MATCH($A25,Cost_Quote!$A:$A,0))</f>
      </c>
      <c r="F25" s="5">
        <v>3</v>
      </c>
      <c r="G25" s="4"/>
      <c r="H25" s="4"/>
      <c r="I25" s="9"/>
      <c r="J25" s="4"/>
      <c r="K25" s="6">
        <f>IF($G25="","",$G25-$D25)</f>
      </c>
      <c r="L25" s="7">
        <f>IFERROR($K25/$G25,"")</f>
      </c>
      <c r="M25" s="6">
        <f>IF($G25="","",$G25-$E25)</f>
      </c>
    </row>
    <row r="26">
      <c r="A26" t="inlineStr" s="4">
        <is>
          <t>8104</t>
        </is>
      </c>
      <c r="B26" t="inlineStr" s="4">
        <is>
          <t>BALVENIE (The) 12 ans Double Wood</t>
        </is>
      </c>
      <c r="C26" t="inlineStr" s="4">
        <is>
          <t>5010327505138</t>
        </is>
      </c>
      <c r="D26" s="6">
        <f>INDEX(Cost_Quote!$S:$S,MATCH($A26,Cost_Quote!$A:$A,0))</f>
      </c>
      <c r="E26" s="6">
        <f>INDEX(Cost_Quote!$U:$U,MATCH($A26,Cost_Quote!$A:$A,0))</f>
      </c>
      <c r="F26" s="5">
        <v>1</v>
      </c>
      <c r="G26" s="4"/>
      <c r="H26" s="4"/>
      <c r="I26" t="inlineStr" s="9">
        <is>
          <t>公開搜尋未取得可靠台灣零售價；待人工補入店家資料</t>
        </is>
      </c>
      <c r="J26" t="inlineStr" s="4">
        <is>
          <t>2026-06-20</t>
        </is>
      </c>
      <c r="K26" s="6">
        <f>IF($G26="","",$G26-$D26)</f>
      </c>
      <c r="L26" s="7">
        <f>IFERROR($K26/$G26,"")</f>
      </c>
      <c r="M26" s="6">
        <f>IF($G26="","",$G26-$E26)</f>
      </c>
    </row>
    <row r="27">
      <c r="A27" t="inlineStr" s="4">
        <is>
          <t>8104</t>
        </is>
      </c>
      <c r="B27" t="inlineStr" s="4">
        <is>
          <t>BALVENIE (The) 12 ans Double Wood</t>
        </is>
      </c>
      <c r="C27" t="inlineStr" s="4">
        <is>
          <t>5010327505138</t>
        </is>
      </c>
      <c r="D27" s="6">
        <f>INDEX(Cost_Quote!$S:$S,MATCH($A27,Cost_Quote!$A:$A,0))</f>
      </c>
      <c r="E27" s="6">
        <f>INDEX(Cost_Quote!$U:$U,MATCH($A27,Cost_Quote!$A:$A,0))</f>
      </c>
      <c r="F27" s="5">
        <v>2</v>
      </c>
      <c r="G27" s="4"/>
      <c r="H27" s="4"/>
      <c r="I27" s="9"/>
      <c r="J27" s="4"/>
      <c r="K27" s="6">
        <f>IF($G27="","",$G27-$D27)</f>
      </c>
      <c r="L27" s="7">
        <f>IFERROR($K27/$G27,"")</f>
      </c>
      <c r="M27" s="6">
        <f>IF($G27="","",$G27-$E27)</f>
      </c>
    </row>
    <row r="28">
      <c r="A28" t="inlineStr" s="4">
        <is>
          <t>8104</t>
        </is>
      </c>
      <c r="B28" t="inlineStr" s="4">
        <is>
          <t>BALVENIE (The) 12 ans Double Wood</t>
        </is>
      </c>
      <c r="C28" t="inlineStr" s="4">
        <is>
          <t>5010327505138</t>
        </is>
      </c>
      <c r="D28" s="6">
        <f>INDEX(Cost_Quote!$S:$S,MATCH($A28,Cost_Quote!$A:$A,0))</f>
      </c>
      <c r="E28" s="6">
        <f>INDEX(Cost_Quote!$U:$U,MATCH($A28,Cost_Quote!$A:$A,0))</f>
      </c>
      <c r="F28" s="5">
        <v>3</v>
      </c>
      <c r="G28" s="4"/>
      <c r="H28" s="4"/>
      <c r="I28" s="9"/>
      <c r="J28" s="4"/>
      <c r="K28" s="6">
        <f>IF($G28="","",$G28-$D28)</f>
      </c>
      <c r="L28" s="7">
        <f>IFERROR($K28/$G28,"")</f>
      </c>
      <c r="M28" s="6">
        <f>IF($G28="","",$G28-$E28)</f>
      </c>
    </row>
    <row r="29">
      <c r="A29" t="inlineStr" s="4">
        <is>
          <t>57066</t>
        </is>
      </c>
      <c r="B29" t="inlineStr" s="4">
        <is>
          <t>BALVENIE (The) 12 ans The Sweet Toast of American Oak</t>
        </is>
      </c>
      <c r="C29" t="inlineStr" s="4">
        <is>
          <t>5010327525167</t>
        </is>
      </c>
      <c r="D29" s="6">
        <f>INDEX(Cost_Quote!$S:$S,MATCH($A29,Cost_Quote!$A:$A,0))</f>
      </c>
      <c r="E29" s="6">
        <f>INDEX(Cost_Quote!$U:$U,MATCH($A29,Cost_Quote!$A:$A,0))</f>
      </c>
      <c r="F29" s="5">
        <v>1</v>
      </c>
      <c r="G29" s="4"/>
      <c r="H29" s="4"/>
      <c r="I29" t="inlineStr" s="9">
        <is>
          <t>公開搜尋未取得可靠台灣零售價；待人工補入店家資料</t>
        </is>
      </c>
      <c r="J29" t="inlineStr" s="4">
        <is>
          <t>2026-06-20</t>
        </is>
      </c>
      <c r="K29" s="6">
        <f>IF($G29="","",$G29-$D29)</f>
      </c>
      <c r="L29" s="7">
        <f>IFERROR($K29/$G29,"")</f>
      </c>
      <c r="M29" s="6">
        <f>IF($G29="","",$G29-$E29)</f>
      </c>
    </row>
    <row r="30">
      <c r="A30" t="inlineStr" s="4">
        <is>
          <t>57066</t>
        </is>
      </c>
      <c r="B30" t="inlineStr" s="4">
        <is>
          <t>BALVENIE (The) 12 ans The Sweet Toast of American Oak</t>
        </is>
      </c>
      <c r="C30" t="inlineStr" s="4">
        <is>
          <t>5010327525167</t>
        </is>
      </c>
      <c r="D30" s="6">
        <f>INDEX(Cost_Quote!$S:$S,MATCH($A30,Cost_Quote!$A:$A,0))</f>
      </c>
      <c r="E30" s="6">
        <f>INDEX(Cost_Quote!$U:$U,MATCH($A30,Cost_Quote!$A:$A,0))</f>
      </c>
      <c r="F30" s="5">
        <v>2</v>
      </c>
      <c r="G30" s="4"/>
      <c r="H30" s="4"/>
      <c r="I30" s="9"/>
      <c r="J30" s="4"/>
      <c r="K30" s="6">
        <f>IF($G30="","",$G30-$D30)</f>
      </c>
      <c r="L30" s="7">
        <f>IFERROR($K30/$G30,"")</f>
      </c>
      <c r="M30" s="6">
        <f>IF($G30="","",$G30-$E30)</f>
      </c>
    </row>
    <row r="31">
      <c r="A31" t="inlineStr" s="4">
        <is>
          <t>57066</t>
        </is>
      </c>
      <c r="B31" t="inlineStr" s="4">
        <is>
          <t>BALVENIE (The) 12 ans The Sweet Toast of American Oak</t>
        </is>
      </c>
      <c r="C31" t="inlineStr" s="4">
        <is>
          <t>5010327525167</t>
        </is>
      </c>
      <c r="D31" s="6">
        <f>INDEX(Cost_Quote!$S:$S,MATCH($A31,Cost_Quote!$A:$A,0))</f>
      </c>
      <c r="E31" s="6">
        <f>INDEX(Cost_Quote!$U:$U,MATCH($A31,Cost_Quote!$A:$A,0))</f>
      </c>
      <c r="F31" s="5">
        <v>3</v>
      </c>
      <c r="G31" s="4"/>
      <c r="H31" s="4"/>
      <c r="I31" s="9"/>
      <c r="J31" s="4"/>
      <c r="K31" s="6">
        <f>IF($G31="","",$G31-$D31)</f>
      </c>
      <c r="L31" s="7">
        <f>IFERROR($K31/$G31,"")</f>
      </c>
      <c r="M31" s="6">
        <f>IF($G31="","",$G31-$E31)</f>
      </c>
    </row>
  </sheetData>
  <autoFilter ref="A4:M31"/>
  <mergeCells count="2">
    <mergeCell ref="A1:M1"/>
    <mergeCell ref="A2:M2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Cost_Quote</vt:lpstr>
      <vt:lpstr>Assumptions</vt:lpstr>
      <vt:lpstr>Retail_Check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Whisky Cost Quote TWD</dc:title>
  <dc:creator>Codex</dc:creator>
  <cp:lastModifiedBy>Codex</cp:lastModifiedBy>
  <dcterms:created xsi:type="dcterms:W3CDTF">2026-06-20T01:15:48.994Z</dcterms:created>
  <dcterms:modified xsi:type="dcterms:W3CDTF">2026-06-20T01:15:48.994Z</dcterms:modified>
</cp:coreProperties>
</file>