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  <sheet name="Forecast_History" sheetId="2" r:id="rId2"/>
    <sheet name="Settings" sheetId="3" r:id="rId3"/>
    <sheet name="Inventory_Planning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0.0%"/>
  </numFmts>
  <fonts count="5">
    <font>
      <sz val="11"/>
      <color rgb="FF1F2937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4B5563"/>
      <name val="Arial"/>
    </font>
    <font>
      <b/>
      <sz val="11"/>
      <color rgb="FF111827"/>
      <name val="Arial"/>
    </font>
  </fonts>
  <fills count="8">
    <fill>
      <patternFill patternType="none"/>
    </fill>
    <fill>
      <patternFill patternType="gray125"/>
    </fill>
    <fill>
      <patternFill patternType="solid">
        <fgColor rgb="FF214E5E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EAF3F0"/>
        <bgColor indexed="64"/>
      </patternFill>
    </fill>
    <fill>
      <patternFill patternType="solid">
        <fgColor rgb="FFF4F7F7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>
      <alignment horizontal="left" vertical="center"/>
    </xf>
    <xf numFmtId="0" fontId="3" fillId="0" borderId="0" xfId="0" applyFont="1">
      <alignment horizontal="left" vertical="center" wrapText="1"/>
    </xf>
    <xf numFmtId="0" fontId="2" fillId="3" borderId="1" xfId="0" applyFont="1" applyFill="1" applyBorder="1">
      <alignment horizontal="center" vertical="center" wrapText="1"/>
    </xf>
    <xf numFmtId="0" fontId="0" fillId="5" borderId="1" xfId="0" applyFill="1" applyBorder="1">
      <alignment vertical="center" wrapText="1"/>
    </xf>
    <xf numFmtId="3" fontId="0" fillId="0" borderId="1" xfId="0" applyNumberFormat="1" applyBorder="1">
      <alignment horizontal="right" vertical="center"/>
    </xf>
    <xf numFmtId="164" fontId="2" fillId="3" borderId="1" xfId="0" applyNumberFormat="1" applyFont="1" applyFill="1" applyBorder="1">
      <alignment horizontal="center" vertical="center"/>
    </xf>
    <xf numFmtId="3" fontId="0" fillId="4" borderId="1" xfId="0" applyNumberFormat="1" applyFill="1" applyBorder="1">
      <alignment horizontal="right" vertical="center"/>
    </xf>
    <xf numFmtId="0" fontId="3" fillId="6" borderId="1" xfId="0" applyFont="1" applyFill="1" applyBorder="1">
      <alignment vertical="top" wrapText="1"/>
    </xf>
    <xf numFmtId="0" fontId="4" fillId="4" borderId="1" xfId="0" applyFont="1" applyFill="1" applyBorder="1">
      <alignment horizontal="left" vertical="center"/>
    </xf>
    <xf numFmtId="165" fontId="0" fillId="4" borderId="1" xfId="0" applyNumberFormat="1" applyFill="1" applyBorder="1">
      <alignment horizontal="right" vertical="center"/>
    </xf>
    <xf numFmtId="0" fontId="0" fillId="7" borderId="1" xfId="0" applyFill="1" applyBorder="1">
      <alignment vertical="center" wrapText="1"/>
    </xf>
    <xf numFmtId="0" fontId="0" fillId="6" borderId="1" xfId="0" applyFill="1" applyBorder="1">
      <alignment vertical="center" wrapText="1"/>
    </xf>
    <xf numFmtId="3" fontId="0" fillId="6" borderId="1" xfId="0" applyNumberFormat="1" applyFill="1" applyBorder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4" ySplit="5" topLeftCell="E6" activePane="bottomRight" state="frozen"/>
      <selection pane="bottomRight" activeCell="E6" sqref="E6"/>
    </sheetView>
  </sheetViews>
  <cols>
    <col min="1" max="1" width="17" customWidth="1"/>
    <col min="2" max="2" width="42" customWidth="1"/>
    <col min="3" max="3" width="24" customWidth="1"/>
    <col min="4" max="4" width="16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3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3" customWidth="1"/>
    <col min="31" max="31" width="26" customWidth="1"/>
  </cols>
  <sheetData>
    <row r="1" ht="28" customHeight="1">
      <c r="A1" t="inlineStr" s="1">
        <is>
          <t>S&amp;OP 移動預測表</t>
        </is>
      </c>
    </row>
    <row r="2">
      <c r="A2" t="inlineStr" s="2">
        <is>
          <t>每個產品 7 行：目標、當月實際出貨、實銷、N-1預估、當月出貨預測、目標達成率、預估準確率。業務每月填實銷與當月出貨預測，N-1預估由 Forecast_History 自動帶入。</t>
        </is>
      </c>
    </row>
    <row r="4">
      <c r="A4" t="inlineStr" s="9">
        <is>
          <t>本期月份</t>
        </is>
      </c>
      <c r="B4" s="7">
        <f>Settings!$B$2</f>
      </c>
      <c r="C4" t="inlineStr" s="9">
        <is>
          <t>箱數</t>
        </is>
      </c>
    </row>
    <row r="5">
      <c r="A5" t="inlineStr" s="3">
        <is>
          <t>國際條碼</t>
        </is>
      </c>
      <c r="B5" t="inlineStr" s="3">
        <is>
          <t>產品名稱(EN)</t>
        </is>
      </c>
      <c r="C5" t="inlineStr" s="3">
        <is>
          <t>產品名稱(CN)</t>
        </is>
      </c>
      <c r="D5" t="inlineStr" s="3">
        <is>
          <t>項目</t>
        </is>
      </c>
      <c r="E5" s="6">
        <v>46023</v>
      </c>
      <c r="F5" s="6">
        <v>46054</v>
      </c>
      <c r="G5" s="6">
        <v>46082</v>
      </c>
      <c r="H5" s="6">
        <v>46113</v>
      </c>
      <c r="I5" s="6">
        <v>46143</v>
      </c>
      <c r="J5" s="6">
        <v>46174</v>
      </c>
      <c r="K5" s="6">
        <v>46204</v>
      </c>
      <c r="L5" s="6">
        <v>46235</v>
      </c>
      <c r="M5" s="6">
        <v>46266</v>
      </c>
      <c r="N5" s="6">
        <v>46296</v>
      </c>
      <c r="O5" s="6">
        <v>46327</v>
      </c>
      <c r="P5" s="6">
        <v>46357</v>
      </c>
      <c r="Q5" t="inlineStr" s="3">
        <is>
          <t>2026合計</t>
        </is>
      </c>
      <c r="R5" s="6">
        <v>46388</v>
      </c>
      <c r="S5" s="6">
        <v>46419</v>
      </c>
      <c r="T5" s="6">
        <v>46447</v>
      </c>
      <c r="U5" s="6">
        <v>46478</v>
      </c>
      <c r="V5" s="6">
        <v>46508</v>
      </c>
      <c r="W5" s="6">
        <v>46539</v>
      </c>
      <c r="X5" s="6">
        <v>46569</v>
      </c>
      <c r="Y5" s="6">
        <v>46600</v>
      </c>
      <c r="Z5" s="6">
        <v>46631</v>
      </c>
      <c r="AA5" s="6">
        <v>46661</v>
      </c>
      <c r="AB5" s="6">
        <v>46692</v>
      </c>
      <c r="AC5" s="6">
        <v>46722</v>
      </c>
      <c r="AD5" t="inlineStr" s="3">
        <is>
          <t>2027合計</t>
        </is>
      </c>
      <c r="AE5" t="inlineStr" s="3">
        <is>
          <t>備註</t>
        </is>
      </c>
    </row>
    <row r="6">
      <c r="A6" t="inlineStr" s="11">
        <is>
          <t>8697343116899</t>
        </is>
      </c>
      <c r="B6" t="inlineStr" s="11">
        <is>
          <t>FEAST IQF CHURROS CUT POTATO 10x1 kg</t>
        </is>
      </c>
      <c r="C6" t="inlineStr" s="11">
        <is>
          <t>FEAST 香脆切薯條</t>
        </is>
      </c>
      <c r="D6" t="inlineStr" s="4">
        <is>
          <t>目標</t>
        </is>
      </c>
      <c r="E6" s="5"/>
      <c r="F6" s="5"/>
      <c r="G6" s="5"/>
      <c r="H6" s="5">
        <v>48.5</v>
      </c>
      <c r="I6" s="5">
        <v>51.610169491525426</v>
      </c>
      <c r="J6" s="5">
        <v>51.610169491525426</v>
      </c>
      <c r="K6" s="5">
        <v>51.610169491525426</v>
      </c>
      <c r="L6" s="5">
        <v>56.771186440678065</v>
      </c>
      <c r="M6" s="5">
        <v>49.02966101694923</v>
      </c>
      <c r="N6" s="5">
        <v>56.771186440678065</v>
      </c>
      <c r="O6" s="5">
        <v>49.02966101694923</v>
      </c>
      <c r="P6" s="5">
        <v>56.771186440678065</v>
      </c>
      <c r="Q6" s="7">
        <f>IF(COUNTA(E6:P6)=0,"",SUM(E6:P6))</f>
      </c>
      <c r="R6" s="5">
        <v>51.610169491525426</v>
      </c>
      <c r="S6" s="5">
        <v>51.610169491525426</v>
      </c>
      <c r="T6" s="5">
        <v>51.610169491525426</v>
      </c>
      <c r="U6" s="5"/>
      <c r="V6" s="5"/>
      <c r="W6" s="5"/>
      <c r="X6" s="5"/>
      <c r="Y6" s="5"/>
      <c r="Z6" s="5"/>
      <c r="AA6" s="5"/>
      <c r="AB6" s="5"/>
      <c r="AC6" s="5"/>
      <c r="AD6" s="7">
        <f>IF(COUNTA(R6:AC6)=0,"",SUM(R6:AC6))</f>
      </c>
      <c r="AE6" s="4"/>
    </row>
    <row r="7">
      <c r="A7" s="11"/>
      <c r="B7" s="11"/>
      <c r="C7" s="11"/>
      <c r="D7" t="inlineStr" s="4">
        <is>
          <t>當月實際出貨</t>
        </is>
      </c>
      <c r="E7" s="5"/>
      <c r="F7" s="5"/>
      <c r="G7" s="5"/>
      <c r="H7" s="5">
        <v>9.7</v>
      </c>
      <c r="I7" s="5">
        <v>10.322033898305085</v>
      </c>
      <c r="J7" s="5"/>
      <c r="K7" s="5"/>
      <c r="L7" s="5"/>
      <c r="M7" s="5"/>
      <c r="N7" s="5"/>
      <c r="O7" s="5"/>
      <c r="P7" s="5"/>
      <c r="Q7" s="7">
        <f>IF(COUNTA(E7:P7)=0,"",SUM(E7:P7))</f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7">
        <f>IF(COUNTA(R7:AC7)=0,"",SUM(R7:AC7))</f>
      </c>
      <c r="AE7" s="4"/>
    </row>
    <row r="8">
      <c r="A8" s="11"/>
      <c r="B8" s="11"/>
      <c r="C8" s="11"/>
      <c r="D8" t="inlineStr" s="12">
        <is>
          <t>實銷</t>
        </is>
      </c>
      <c r="E8" s="13"/>
      <c r="F8" s="13">
        <v>8.4</v>
      </c>
      <c r="G8" s="13">
        <v>11.9</v>
      </c>
      <c r="H8" s="13">
        <v>9.7</v>
      </c>
      <c r="I8" s="13"/>
      <c r="J8" s="13"/>
      <c r="K8" s="13"/>
      <c r="L8" s="13"/>
      <c r="M8" s="13"/>
      <c r="N8" s="13"/>
      <c r="O8" s="13"/>
      <c r="P8" s="13"/>
      <c r="Q8" s="13">
        <f>IF(COUNTA(E8:P8)=0,"",SUM(E8:P8))</f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>
        <f>IF(COUNTA(R8:AC8)=0,"",SUM(R8:AC8))</f>
      </c>
      <c r="AE8" s="4"/>
    </row>
    <row r="9">
      <c r="A9" s="11"/>
      <c r="B9" s="11"/>
      <c r="C9" s="11"/>
      <c r="D9" t="inlineStr" s="4">
        <is>
          <t>N-1預估</t>
        </is>
      </c>
      <c r="E9" s="7">
        <f>IF($A6="","",SUMIFS(Forecast_History!$F:$F,Forecast_History!$A:$A,EDATE(E$5,-1),Forecast_History!$B:$B,$A6,Forecast_History!$E:$E,E$5))</f>
      </c>
      <c r="F9" s="7">
        <f>IF($A6="","",SUMIFS(Forecast_History!$F:$F,Forecast_History!$A:$A,EDATE(F$5,-1),Forecast_History!$B:$B,$A6,Forecast_History!$E:$E,F$5))</f>
      </c>
      <c r="G9" s="7">
        <f>IF($A6="","",SUMIFS(Forecast_History!$F:$F,Forecast_History!$A:$A,EDATE(G$5,-1),Forecast_History!$B:$B,$A6,Forecast_History!$E:$E,G$5))</f>
      </c>
      <c r="H9" s="7">
        <f>IF($A6="","",SUMIFS(Forecast_History!$F:$F,Forecast_History!$A:$A,EDATE(H$5,-1),Forecast_History!$B:$B,$A6,Forecast_History!$E:$E,H$5))</f>
      </c>
      <c r="I9" s="7">
        <f>IF($A6="","",SUMIFS(Forecast_History!$F:$F,Forecast_History!$A:$A,EDATE(I$5,-1),Forecast_History!$B:$B,$A6,Forecast_History!$E:$E,I$5))</f>
      </c>
      <c r="J9" s="7">
        <f>IF($A6="","",SUMIFS(Forecast_History!$F:$F,Forecast_History!$A:$A,EDATE(J$5,-1),Forecast_History!$B:$B,$A6,Forecast_History!$E:$E,J$5))</f>
      </c>
      <c r="K9" s="7">
        <f>IF($A6="","",SUMIFS(Forecast_History!$F:$F,Forecast_History!$A:$A,EDATE(K$5,-1),Forecast_History!$B:$B,$A6,Forecast_History!$E:$E,K$5))</f>
      </c>
      <c r="L9" s="7">
        <f>IF($A6="","",SUMIFS(Forecast_History!$F:$F,Forecast_History!$A:$A,EDATE(L$5,-1),Forecast_History!$B:$B,$A6,Forecast_History!$E:$E,L$5))</f>
      </c>
      <c r="M9" s="7">
        <f>IF($A6="","",SUMIFS(Forecast_History!$F:$F,Forecast_History!$A:$A,EDATE(M$5,-1),Forecast_History!$B:$B,$A6,Forecast_History!$E:$E,M$5))</f>
      </c>
      <c r="N9" s="7">
        <f>IF($A6="","",SUMIFS(Forecast_History!$F:$F,Forecast_History!$A:$A,EDATE(N$5,-1),Forecast_History!$B:$B,$A6,Forecast_History!$E:$E,N$5))</f>
      </c>
      <c r="O9" s="7">
        <f>IF($A6="","",SUMIFS(Forecast_History!$F:$F,Forecast_History!$A:$A,EDATE(O$5,-1),Forecast_History!$B:$B,$A6,Forecast_History!$E:$E,O$5))</f>
      </c>
      <c r="P9" s="7">
        <f>IF($A6="","",SUMIFS(Forecast_History!$F:$F,Forecast_History!$A:$A,EDATE(P$5,-1),Forecast_History!$B:$B,$A6,Forecast_History!$E:$E,P$5))</f>
      </c>
      <c r="Q9" s="7">
        <f>IF(COUNTA(E9:P9)=0,"",SUM(E9:P9))</f>
      </c>
      <c r="R9" s="7">
        <f>IF($A6="","",SUMIFS(Forecast_History!$F:$F,Forecast_History!$A:$A,EDATE(R$5,-1),Forecast_History!$B:$B,$A6,Forecast_History!$E:$E,R$5))</f>
      </c>
      <c r="S9" s="7">
        <f>IF($A6="","",SUMIFS(Forecast_History!$F:$F,Forecast_History!$A:$A,EDATE(S$5,-1),Forecast_History!$B:$B,$A6,Forecast_History!$E:$E,S$5))</f>
      </c>
      <c r="T9" s="7">
        <f>IF($A6="","",SUMIFS(Forecast_History!$F:$F,Forecast_History!$A:$A,EDATE(T$5,-1),Forecast_History!$B:$B,$A6,Forecast_History!$E:$E,T$5))</f>
      </c>
      <c r="U9" s="7">
        <f>IF($A6="","",SUMIFS(Forecast_History!$F:$F,Forecast_History!$A:$A,EDATE(U$5,-1),Forecast_History!$B:$B,$A6,Forecast_History!$E:$E,U$5))</f>
      </c>
      <c r="V9" s="7">
        <f>IF($A6="","",SUMIFS(Forecast_History!$F:$F,Forecast_History!$A:$A,EDATE(V$5,-1),Forecast_History!$B:$B,$A6,Forecast_History!$E:$E,V$5))</f>
      </c>
      <c r="W9" s="7">
        <f>IF($A6="","",SUMIFS(Forecast_History!$F:$F,Forecast_History!$A:$A,EDATE(W$5,-1),Forecast_History!$B:$B,$A6,Forecast_History!$E:$E,W$5))</f>
      </c>
      <c r="X9" s="7">
        <f>IF($A6="","",SUMIFS(Forecast_History!$F:$F,Forecast_History!$A:$A,EDATE(X$5,-1),Forecast_History!$B:$B,$A6,Forecast_History!$E:$E,X$5))</f>
      </c>
      <c r="Y9" s="7">
        <f>IF($A6="","",SUMIFS(Forecast_History!$F:$F,Forecast_History!$A:$A,EDATE(Y$5,-1),Forecast_History!$B:$B,$A6,Forecast_History!$E:$E,Y$5))</f>
      </c>
      <c r="Z9" s="7">
        <f>IF($A6="","",SUMIFS(Forecast_History!$F:$F,Forecast_History!$A:$A,EDATE(Z$5,-1),Forecast_History!$B:$B,$A6,Forecast_History!$E:$E,Z$5))</f>
      </c>
      <c r="AA9" s="7">
        <f>IF($A6="","",SUMIFS(Forecast_History!$F:$F,Forecast_History!$A:$A,EDATE(AA$5,-1),Forecast_History!$B:$B,$A6,Forecast_History!$E:$E,AA$5))</f>
      </c>
      <c r="AB9" s="7">
        <f>IF($A6="","",SUMIFS(Forecast_History!$F:$F,Forecast_History!$A:$A,EDATE(AB$5,-1),Forecast_History!$B:$B,$A6,Forecast_History!$E:$E,AB$5))</f>
      </c>
      <c r="AC9" s="7">
        <f>IF($A6="","",SUMIFS(Forecast_History!$F:$F,Forecast_History!$A:$A,EDATE(AC$5,-1),Forecast_History!$B:$B,$A6,Forecast_History!$E:$E,AC$5))</f>
      </c>
      <c r="AD9" s="7">
        <f>IF(COUNTA(R9:AC9)=0,"",SUM(R9:AC9))</f>
      </c>
      <c r="AE9" s="4"/>
    </row>
    <row r="10">
      <c r="A10" s="11"/>
      <c r="B10" s="11"/>
      <c r="C10" s="11"/>
      <c r="D10" t="inlineStr" s="12">
        <is>
          <t>當月出貨預測</t>
        </is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f>IF(COUNTA(E10:P10)=0,"",SUM(E10:P10))</f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>
        <f>IF(COUNTA(R10:AC10)=0,"",SUM(R10:AC10))</f>
      </c>
      <c r="AE10" s="4"/>
    </row>
    <row r="11">
      <c r="A11" s="11"/>
      <c r="B11" s="11"/>
      <c r="C11" s="11"/>
      <c r="D11" t="inlineStr" s="7">
        <is>
          <t>目標達成率</t>
        </is>
      </c>
      <c r="E11" s="10">
        <f>IFERROR(E7/E6,"")</f>
      </c>
      <c r="F11" s="10">
        <f>IFERROR(F7/F6,"")</f>
      </c>
      <c r="G11" s="10">
        <f>IFERROR(G7/G6,"")</f>
      </c>
      <c r="H11" s="10">
        <f>IFERROR(H7/H6,"")</f>
      </c>
      <c r="I11" s="10">
        <f>IFERROR(I7/I6,"")</f>
      </c>
      <c r="J11" s="10">
        <f>IFERROR(J7/J6,"")</f>
      </c>
      <c r="K11" s="10">
        <f>IFERROR(K7/K6,"")</f>
      </c>
      <c r="L11" s="10">
        <f>IFERROR(L7/L6,"")</f>
      </c>
      <c r="M11" s="10">
        <f>IFERROR(M7/M6,"")</f>
      </c>
      <c r="N11" s="10">
        <f>IFERROR(N7/N6,"")</f>
      </c>
      <c r="O11" s="10">
        <f>IFERROR(O7/O6,"")</f>
      </c>
      <c r="P11" s="10">
        <f>IFERROR(P7/P6,"")</f>
      </c>
      <c r="Q11" s="7"/>
      <c r="R11" s="10">
        <f>IFERROR(R7/R6,"")</f>
      </c>
      <c r="S11" s="10">
        <f>IFERROR(S7/S6,"")</f>
      </c>
      <c r="T11" s="10">
        <f>IFERROR(T7/T6,"")</f>
      </c>
      <c r="U11" s="10">
        <f>IFERROR(U7/U6,"")</f>
      </c>
      <c r="V11" s="10">
        <f>IFERROR(V7/V6,"")</f>
      </c>
      <c r="W11" s="10">
        <f>IFERROR(W7/W6,"")</f>
      </c>
      <c r="X11" s="10">
        <f>IFERROR(X7/X6,"")</f>
      </c>
      <c r="Y11" s="10">
        <f>IFERROR(Y7/Y6,"")</f>
      </c>
      <c r="Z11" s="10">
        <f>IFERROR(Z7/Z6,"")</f>
      </c>
      <c r="AA11" s="10">
        <f>IFERROR(AA7/AA6,"")</f>
      </c>
      <c r="AB11" s="10">
        <f>IFERROR(AB7/AB6,"")</f>
      </c>
      <c r="AC11" s="10">
        <f>IFERROR(AC7/AC6,"")</f>
      </c>
      <c r="AD11" s="7"/>
      <c r="AE11" s="4"/>
    </row>
    <row r="12">
      <c r="A12" s="11"/>
      <c r="B12" s="11"/>
      <c r="C12" s="11"/>
      <c r="D12" t="inlineStr" s="7">
        <is>
          <t>預估準確率</t>
        </is>
      </c>
      <c r="E12" s="10">
        <f>IFERROR(E7/E10,"")</f>
      </c>
      <c r="F12" s="10">
        <f>IFERROR(F7/F10,"")</f>
      </c>
      <c r="G12" s="10">
        <f>IFERROR(G7/G10,"")</f>
      </c>
      <c r="H12" s="10">
        <f>IFERROR(H7/H10,"")</f>
      </c>
      <c r="I12" s="10">
        <f>IFERROR(I7/I10,"")</f>
      </c>
      <c r="J12" s="10">
        <f>IFERROR(J7/J10,"")</f>
      </c>
      <c r="K12" s="10">
        <f>IFERROR(K7/K10,"")</f>
      </c>
      <c r="L12" s="10">
        <f>IFERROR(L7/L10,"")</f>
      </c>
      <c r="M12" s="10">
        <f>IFERROR(M7/M10,"")</f>
      </c>
      <c r="N12" s="10">
        <f>IFERROR(N7/N10,"")</f>
      </c>
      <c r="O12" s="10">
        <f>IFERROR(O7/O10,"")</f>
      </c>
      <c r="P12" s="10">
        <f>IFERROR(P7/P10,"")</f>
      </c>
      <c r="Q12" s="7"/>
      <c r="R12" s="10">
        <f>IFERROR(R7/R10,"")</f>
      </c>
      <c r="S12" s="10">
        <f>IFERROR(S7/S10,"")</f>
      </c>
      <c r="T12" s="10">
        <f>IFERROR(T7/T10,"")</f>
      </c>
      <c r="U12" s="10">
        <f>IFERROR(U7/U10,"")</f>
      </c>
      <c r="V12" s="10">
        <f>IFERROR(V7/V10,"")</f>
      </c>
      <c r="W12" s="10">
        <f>IFERROR(W7/W10,"")</f>
      </c>
      <c r="X12" s="10">
        <f>IFERROR(X7/X10,"")</f>
      </c>
      <c r="Y12" s="10">
        <f>IFERROR(Y7/Y10,"")</f>
      </c>
      <c r="Z12" s="10">
        <f>IFERROR(Z7/Z10,"")</f>
      </c>
      <c r="AA12" s="10">
        <f>IFERROR(AA7/AA10,"")</f>
      </c>
      <c r="AB12" s="10">
        <f>IFERROR(AB7/AB10,"")</f>
      </c>
      <c r="AC12" s="10">
        <f>IFERROR(AC7/AC10,"")</f>
      </c>
      <c r="AD12" s="7"/>
      <c r="AE12" s="4"/>
    </row>
    <row r="13">
      <c r="A13" t="inlineStr" s="11">
        <is>
          <t>8697343600022</t>
        </is>
      </c>
      <c r="B13" t="inlineStr" s="11">
        <is>
          <t>FEAST IQF WEDGE POTATO 10x1 kg</t>
        </is>
      </c>
      <c r="C13" t="inlineStr" s="11">
        <is>
          <t>FEAST 楔型薯塊</t>
        </is>
      </c>
      <c r="D13" t="inlineStr" s="4">
        <is>
          <t>目標</t>
        </is>
      </c>
      <c r="E13" s="5"/>
      <c r="F13" s="5"/>
      <c r="G13" s="5"/>
      <c r="H13" s="5">
        <v>108</v>
      </c>
      <c r="I13" s="5">
        <v>108.8135593220339</v>
      </c>
      <c r="J13" s="5">
        <v>108.8135593220339</v>
      </c>
      <c r="K13" s="5">
        <v>119.69491525423742</v>
      </c>
      <c r="L13" s="5">
        <v>103.3728813559323</v>
      </c>
      <c r="M13" s="5">
        <v>119.69491525423742</v>
      </c>
      <c r="N13" s="5">
        <v>103.3728813559323</v>
      </c>
      <c r="O13" s="5">
        <v>119.69491525423742</v>
      </c>
      <c r="P13" s="5">
        <v>108.8135593220339</v>
      </c>
      <c r="Q13" s="7">
        <f>IF(COUNTA(E13:P13)=0,"",SUM(E13:P13))</f>
      </c>
      <c r="R13" s="5">
        <v>108.8135593220339</v>
      </c>
      <c r="S13" s="5">
        <v>108.8135593220339</v>
      </c>
      <c r="T13" s="5">
        <v>108.8135593220339</v>
      </c>
      <c r="U13" s="5"/>
      <c r="V13" s="5"/>
      <c r="W13" s="5"/>
      <c r="X13" s="5"/>
      <c r="Y13" s="5"/>
      <c r="Z13" s="5"/>
      <c r="AA13" s="5"/>
      <c r="AB13" s="5"/>
      <c r="AC13" s="5"/>
      <c r="AD13" s="7">
        <f>IF(COUNTA(R13:AC13)=0,"",SUM(R13:AC13))</f>
      </c>
      <c r="AE13" s="4"/>
    </row>
    <row r="14">
      <c r="A14" s="11"/>
      <c r="B14" s="11"/>
      <c r="C14" s="11"/>
      <c r="D14" t="inlineStr" s="4">
        <is>
          <t>當月實際出貨</t>
        </is>
      </c>
      <c r="E14" s="5"/>
      <c r="F14" s="5"/>
      <c r="G14" s="5"/>
      <c r="H14" s="5">
        <v>21.6</v>
      </c>
      <c r="I14" s="5">
        <v>21.76271186440678</v>
      </c>
      <c r="J14" s="5"/>
      <c r="K14" s="5"/>
      <c r="L14" s="5"/>
      <c r="M14" s="5"/>
      <c r="N14" s="5"/>
      <c r="O14" s="5"/>
      <c r="P14" s="5"/>
      <c r="Q14" s="7">
        <f>IF(COUNTA(E14:P14)=0,"",SUM(E14:P14))</f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7">
        <f>IF(COUNTA(R14:AC14)=0,"",SUM(R14:AC14))</f>
      </c>
      <c r="AE14" s="4"/>
    </row>
    <row r="15">
      <c r="A15" s="11"/>
      <c r="B15" s="11"/>
      <c r="C15" s="11"/>
      <c r="D15" t="inlineStr" s="12">
        <is>
          <t>實銷</t>
        </is>
      </c>
      <c r="E15" s="13"/>
      <c r="F15" s="13">
        <v>21.4</v>
      </c>
      <c r="G15" s="13">
        <v>21.4</v>
      </c>
      <c r="H15" s="13">
        <v>21.6</v>
      </c>
      <c r="I15" s="13"/>
      <c r="J15" s="13"/>
      <c r="K15" s="13"/>
      <c r="L15" s="13"/>
      <c r="M15" s="13"/>
      <c r="N15" s="13"/>
      <c r="O15" s="13"/>
      <c r="P15" s="13"/>
      <c r="Q15" s="13">
        <f>IF(COUNTA(E15:P15)=0,"",SUM(E15:P15))</f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>
        <f>IF(COUNTA(R15:AC15)=0,"",SUM(R15:AC15))</f>
      </c>
      <c r="AE15" s="4"/>
    </row>
    <row r="16">
      <c r="A16" s="11"/>
      <c r="B16" s="11"/>
      <c r="C16" s="11"/>
      <c r="D16" t="inlineStr" s="4">
        <is>
          <t>N-1預估</t>
        </is>
      </c>
      <c r="E16" s="7">
        <f>IF($A13="","",SUMIFS(Forecast_History!$F:$F,Forecast_History!$A:$A,EDATE(E$5,-1),Forecast_History!$B:$B,$A13,Forecast_History!$E:$E,E$5))</f>
      </c>
      <c r="F16" s="7">
        <f>IF($A13="","",SUMIFS(Forecast_History!$F:$F,Forecast_History!$A:$A,EDATE(F$5,-1),Forecast_History!$B:$B,$A13,Forecast_History!$E:$E,F$5))</f>
      </c>
      <c r="G16" s="7">
        <f>IF($A13="","",SUMIFS(Forecast_History!$F:$F,Forecast_History!$A:$A,EDATE(G$5,-1),Forecast_History!$B:$B,$A13,Forecast_History!$E:$E,G$5))</f>
      </c>
      <c r="H16" s="7">
        <f>IF($A13="","",SUMIFS(Forecast_History!$F:$F,Forecast_History!$A:$A,EDATE(H$5,-1),Forecast_History!$B:$B,$A13,Forecast_History!$E:$E,H$5))</f>
      </c>
      <c r="I16" s="7">
        <f>IF($A13="","",SUMIFS(Forecast_History!$F:$F,Forecast_History!$A:$A,EDATE(I$5,-1),Forecast_History!$B:$B,$A13,Forecast_History!$E:$E,I$5))</f>
      </c>
      <c r="J16" s="7">
        <f>IF($A13="","",SUMIFS(Forecast_History!$F:$F,Forecast_History!$A:$A,EDATE(J$5,-1),Forecast_History!$B:$B,$A13,Forecast_History!$E:$E,J$5))</f>
      </c>
      <c r="K16" s="7">
        <f>IF($A13="","",SUMIFS(Forecast_History!$F:$F,Forecast_History!$A:$A,EDATE(K$5,-1),Forecast_History!$B:$B,$A13,Forecast_History!$E:$E,K$5))</f>
      </c>
      <c r="L16" s="7">
        <f>IF($A13="","",SUMIFS(Forecast_History!$F:$F,Forecast_History!$A:$A,EDATE(L$5,-1),Forecast_History!$B:$B,$A13,Forecast_History!$E:$E,L$5))</f>
      </c>
      <c r="M16" s="7">
        <f>IF($A13="","",SUMIFS(Forecast_History!$F:$F,Forecast_History!$A:$A,EDATE(M$5,-1),Forecast_History!$B:$B,$A13,Forecast_History!$E:$E,M$5))</f>
      </c>
      <c r="N16" s="7">
        <f>IF($A13="","",SUMIFS(Forecast_History!$F:$F,Forecast_History!$A:$A,EDATE(N$5,-1),Forecast_History!$B:$B,$A13,Forecast_History!$E:$E,N$5))</f>
      </c>
      <c r="O16" s="7">
        <f>IF($A13="","",SUMIFS(Forecast_History!$F:$F,Forecast_History!$A:$A,EDATE(O$5,-1),Forecast_History!$B:$B,$A13,Forecast_History!$E:$E,O$5))</f>
      </c>
      <c r="P16" s="7">
        <f>IF($A13="","",SUMIFS(Forecast_History!$F:$F,Forecast_History!$A:$A,EDATE(P$5,-1),Forecast_History!$B:$B,$A13,Forecast_History!$E:$E,P$5))</f>
      </c>
      <c r="Q16" s="7">
        <f>IF(COUNTA(E16:P16)=0,"",SUM(E16:P16))</f>
      </c>
      <c r="R16" s="7">
        <f>IF($A13="","",SUMIFS(Forecast_History!$F:$F,Forecast_History!$A:$A,EDATE(R$5,-1),Forecast_History!$B:$B,$A13,Forecast_History!$E:$E,R$5))</f>
      </c>
      <c r="S16" s="7">
        <f>IF($A13="","",SUMIFS(Forecast_History!$F:$F,Forecast_History!$A:$A,EDATE(S$5,-1),Forecast_History!$B:$B,$A13,Forecast_History!$E:$E,S$5))</f>
      </c>
      <c r="T16" s="7">
        <f>IF($A13="","",SUMIFS(Forecast_History!$F:$F,Forecast_History!$A:$A,EDATE(T$5,-1),Forecast_History!$B:$B,$A13,Forecast_History!$E:$E,T$5))</f>
      </c>
      <c r="U16" s="7">
        <f>IF($A13="","",SUMIFS(Forecast_History!$F:$F,Forecast_History!$A:$A,EDATE(U$5,-1),Forecast_History!$B:$B,$A13,Forecast_History!$E:$E,U$5))</f>
      </c>
      <c r="V16" s="7">
        <f>IF($A13="","",SUMIFS(Forecast_History!$F:$F,Forecast_History!$A:$A,EDATE(V$5,-1),Forecast_History!$B:$B,$A13,Forecast_History!$E:$E,V$5))</f>
      </c>
      <c r="W16" s="7">
        <f>IF($A13="","",SUMIFS(Forecast_History!$F:$F,Forecast_History!$A:$A,EDATE(W$5,-1),Forecast_History!$B:$B,$A13,Forecast_History!$E:$E,W$5))</f>
      </c>
      <c r="X16" s="7">
        <f>IF($A13="","",SUMIFS(Forecast_History!$F:$F,Forecast_History!$A:$A,EDATE(X$5,-1),Forecast_History!$B:$B,$A13,Forecast_History!$E:$E,X$5))</f>
      </c>
      <c r="Y16" s="7">
        <f>IF($A13="","",SUMIFS(Forecast_History!$F:$F,Forecast_History!$A:$A,EDATE(Y$5,-1),Forecast_History!$B:$B,$A13,Forecast_History!$E:$E,Y$5))</f>
      </c>
      <c r="Z16" s="7">
        <f>IF($A13="","",SUMIFS(Forecast_History!$F:$F,Forecast_History!$A:$A,EDATE(Z$5,-1),Forecast_History!$B:$B,$A13,Forecast_History!$E:$E,Z$5))</f>
      </c>
      <c r="AA16" s="7">
        <f>IF($A13="","",SUMIFS(Forecast_History!$F:$F,Forecast_History!$A:$A,EDATE(AA$5,-1),Forecast_History!$B:$B,$A13,Forecast_History!$E:$E,AA$5))</f>
      </c>
      <c r="AB16" s="7">
        <f>IF($A13="","",SUMIFS(Forecast_History!$F:$F,Forecast_History!$A:$A,EDATE(AB$5,-1),Forecast_History!$B:$B,$A13,Forecast_History!$E:$E,AB$5))</f>
      </c>
      <c r="AC16" s="7">
        <f>IF($A13="","",SUMIFS(Forecast_History!$F:$F,Forecast_History!$A:$A,EDATE(AC$5,-1),Forecast_History!$B:$B,$A13,Forecast_History!$E:$E,AC$5))</f>
      </c>
      <c r="AD16" s="7">
        <f>IF(COUNTA(R16:AC16)=0,"",SUM(R16:AC16))</f>
      </c>
      <c r="AE16" s="4"/>
    </row>
    <row r="17">
      <c r="A17" s="11"/>
      <c r="B17" s="11"/>
      <c r="C17" s="11"/>
      <c r="D17" t="inlineStr" s="12">
        <is>
          <t>當月出貨預測</t>
        </is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>
        <f>IF(COUNTA(E17:P17)=0,"",SUM(E17:P17))</f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>
        <f>IF(COUNTA(R17:AC17)=0,"",SUM(R17:AC17))</f>
      </c>
      <c r="AE17" s="4"/>
    </row>
    <row r="18">
      <c r="A18" s="11"/>
      <c r="B18" s="11"/>
      <c r="C18" s="11"/>
      <c r="D18" t="inlineStr" s="7">
        <is>
          <t>目標達成率</t>
        </is>
      </c>
      <c r="E18" s="10">
        <f>IFERROR(E14/E13,"")</f>
      </c>
      <c r="F18" s="10">
        <f>IFERROR(F14/F13,"")</f>
      </c>
      <c r="G18" s="10">
        <f>IFERROR(G14/G13,"")</f>
      </c>
      <c r="H18" s="10">
        <f>IFERROR(H14/H13,"")</f>
      </c>
      <c r="I18" s="10">
        <f>IFERROR(I14/I13,"")</f>
      </c>
      <c r="J18" s="10">
        <f>IFERROR(J14/J13,"")</f>
      </c>
      <c r="K18" s="10">
        <f>IFERROR(K14/K13,"")</f>
      </c>
      <c r="L18" s="10">
        <f>IFERROR(L14/L13,"")</f>
      </c>
      <c r="M18" s="10">
        <f>IFERROR(M14/M13,"")</f>
      </c>
      <c r="N18" s="10">
        <f>IFERROR(N14/N13,"")</f>
      </c>
      <c r="O18" s="10">
        <f>IFERROR(O14/O13,"")</f>
      </c>
      <c r="P18" s="10">
        <f>IFERROR(P14/P13,"")</f>
      </c>
      <c r="Q18" s="7"/>
      <c r="R18" s="10">
        <f>IFERROR(R14/R13,"")</f>
      </c>
      <c r="S18" s="10">
        <f>IFERROR(S14/S13,"")</f>
      </c>
      <c r="T18" s="10">
        <f>IFERROR(T14/T13,"")</f>
      </c>
      <c r="U18" s="10">
        <f>IFERROR(U14/U13,"")</f>
      </c>
      <c r="V18" s="10">
        <f>IFERROR(V14/V13,"")</f>
      </c>
      <c r="W18" s="10">
        <f>IFERROR(W14/W13,"")</f>
      </c>
      <c r="X18" s="10">
        <f>IFERROR(X14/X13,"")</f>
      </c>
      <c r="Y18" s="10">
        <f>IFERROR(Y14/Y13,"")</f>
      </c>
      <c r="Z18" s="10">
        <f>IFERROR(Z14/Z13,"")</f>
      </c>
      <c r="AA18" s="10">
        <f>IFERROR(AA14/AA13,"")</f>
      </c>
      <c r="AB18" s="10">
        <f>IFERROR(AB14/AB13,"")</f>
      </c>
      <c r="AC18" s="10">
        <f>IFERROR(AC14/AC13,"")</f>
      </c>
      <c r="AD18" s="7"/>
      <c r="AE18" s="4"/>
    </row>
    <row r="19">
      <c r="A19" s="11"/>
      <c r="B19" s="11"/>
      <c r="C19" s="11"/>
      <c r="D19" t="inlineStr" s="7">
        <is>
          <t>預估準確率</t>
        </is>
      </c>
      <c r="E19" s="10">
        <f>IFERROR(E14/E17,"")</f>
      </c>
      <c r="F19" s="10">
        <f>IFERROR(F14/F17,"")</f>
      </c>
      <c r="G19" s="10">
        <f>IFERROR(G14/G17,"")</f>
      </c>
      <c r="H19" s="10">
        <f>IFERROR(H14/H17,"")</f>
      </c>
      <c r="I19" s="10">
        <f>IFERROR(I14/I17,"")</f>
      </c>
      <c r="J19" s="10">
        <f>IFERROR(J14/J17,"")</f>
      </c>
      <c r="K19" s="10">
        <f>IFERROR(K14/K17,"")</f>
      </c>
      <c r="L19" s="10">
        <f>IFERROR(L14/L17,"")</f>
      </c>
      <c r="M19" s="10">
        <f>IFERROR(M14/M17,"")</f>
      </c>
      <c r="N19" s="10">
        <f>IFERROR(N14/N17,"")</f>
      </c>
      <c r="O19" s="10">
        <f>IFERROR(O14/O17,"")</f>
      </c>
      <c r="P19" s="10">
        <f>IFERROR(P14/P17,"")</f>
      </c>
      <c r="Q19" s="7"/>
      <c r="R19" s="10">
        <f>IFERROR(R14/R17,"")</f>
      </c>
      <c r="S19" s="10">
        <f>IFERROR(S14/S17,"")</f>
      </c>
      <c r="T19" s="10">
        <f>IFERROR(T14/T17,"")</f>
      </c>
      <c r="U19" s="10">
        <f>IFERROR(U14/U17,"")</f>
      </c>
      <c r="V19" s="10">
        <f>IFERROR(V14/V17,"")</f>
      </c>
      <c r="W19" s="10">
        <f>IFERROR(W14/W17,"")</f>
      </c>
      <c r="X19" s="10">
        <f>IFERROR(X14/X17,"")</f>
      </c>
      <c r="Y19" s="10">
        <f>IFERROR(Y14/Y17,"")</f>
      </c>
      <c r="Z19" s="10">
        <f>IFERROR(Z14/Z17,"")</f>
      </c>
      <c r="AA19" s="10">
        <f>IFERROR(AA14/AA17,"")</f>
      </c>
      <c r="AB19" s="10">
        <f>IFERROR(AB14/AB17,"")</f>
      </c>
      <c r="AC19" s="10">
        <f>IFERROR(AC14/AC17,"")</f>
      </c>
      <c r="AD19" s="7"/>
      <c r="AE19" s="4"/>
    </row>
    <row r="20">
      <c r="A20" t="inlineStr" s="11">
        <is>
          <t>8697343464225</t>
        </is>
      </c>
      <c r="B20" t="inlineStr" s="11">
        <is>
          <t>FEAST IQF FRENCH FRIES 10*10 mm 10x1 kg</t>
        </is>
      </c>
      <c r="C20" t="inlineStr" s="11">
        <is>
          <t>FEAST 10*10mm 薯條</t>
        </is>
      </c>
      <c r="D20" t="inlineStr" s="4">
        <is>
          <t>目標</t>
        </is>
      </c>
      <c r="E20" s="5"/>
      <c r="F20" s="5"/>
      <c r="G20" s="5"/>
      <c r="H20" s="5">
        <v>45</v>
      </c>
      <c r="I20" s="5">
        <v>92.54237288135596</v>
      </c>
      <c r="J20" s="5">
        <v>92.54237288135596</v>
      </c>
      <c r="K20" s="5">
        <v>120.30508474576281</v>
      </c>
      <c r="L20" s="5">
        <v>83.28813559322042</v>
      </c>
      <c r="M20" s="5">
        <v>120.30508474576281</v>
      </c>
      <c r="N20" s="5">
        <v>83.28813559322042</v>
      </c>
      <c r="O20" s="5">
        <v>120.30508474576281</v>
      </c>
      <c r="P20" s="5">
        <v>92.54237288135596</v>
      </c>
      <c r="Q20" s="7">
        <f>IF(COUNTA(E20:P20)=0,"",SUM(E20:P20))</f>
      </c>
      <c r="R20" s="5">
        <v>92.54237288135596</v>
      </c>
      <c r="S20" s="5">
        <v>92.54237288135596</v>
      </c>
      <c r="T20" s="5">
        <v>92.54237288135596</v>
      </c>
      <c r="U20" s="5"/>
      <c r="V20" s="5"/>
      <c r="W20" s="5"/>
      <c r="X20" s="5"/>
      <c r="Y20" s="5"/>
      <c r="Z20" s="5"/>
      <c r="AA20" s="5"/>
      <c r="AB20" s="5"/>
      <c r="AC20" s="5"/>
      <c r="AD20" s="7">
        <f>IF(COUNTA(R20:AC20)=0,"",SUM(R20:AC20))</f>
      </c>
      <c r="AE20" s="4"/>
    </row>
    <row r="21">
      <c r="A21" s="11"/>
      <c r="B21" s="11"/>
      <c r="C21" s="11"/>
      <c r="D21" t="inlineStr" s="4">
        <is>
          <t>當月實際出貨</t>
        </is>
      </c>
      <c r="E21" s="5"/>
      <c r="F21" s="5"/>
      <c r="G21" s="5"/>
      <c r="H21" s="5">
        <v>9</v>
      </c>
      <c r="I21" s="5">
        <v>18.50847457627119</v>
      </c>
      <c r="J21" s="5"/>
      <c r="K21" s="5"/>
      <c r="L21" s="5"/>
      <c r="M21" s="5"/>
      <c r="N21" s="5"/>
      <c r="O21" s="5"/>
      <c r="P21" s="5"/>
      <c r="Q21" s="7">
        <f>IF(COUNTA(E21:P21)=0,"",SUM(E21:P21))</f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7">
        <f>IF(COUNTA(R21:AC21)=0,"",SUM(R21:AC21))</f>
      </c>
      <c r="AE21" s="4"/>
    </row>
    <row r="22">
      <c r="A22" s="11"/>
      <c r="B22" s="11"/>
      <c r="C22" s="11"/>
      <c r="D22" t="inlineStr" s="12">
        <is>
          <t>實銷</t>
        </is>
      </c>
      <c r="E22" s="13"/>
      <c r="F22" s="13">
        <v>20.9</v>
      </c>
      <c r="G22" s="13">
        <v>15.5</v>
      </c>
      <c r="H22" s="13">
        <v>9</v>
      </c>
      <c r="I22" s="13"/>
      <c r="J22" s="13"/>
      <c r="K22" s="13"/>
      <c r="L22" s="13"/>
      <c r="M22" s="13"/>
      <c r="N22" s="13"/>
      <c r="O22" s="13"/>
      <c r="P22" s="13"/>
      <c r="Q22" s="13">
        <f>IF(COUNTA(E22:P22)=0,"",SUM(E22:P22))</f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>
        <f>IF(COUNTA(R22:AC22)=0,"",SUM(R22:AC22))</f>
      </c>
      <c r="AE22" s="4"/>
    </row>
    <row r="23">
      <c r="A23" s="11"/>
      <c r="B23" s="11"/>
      <c r="C23" s="11"/>
      <c r="D23" t="inlineStr" s="4">
        <is>
          <t>N-1預估</t>
        </is>
      </c>
      <c r="E23" s="7">
        <f>IF($A20="","",SUMIFS(Forecast_History!$F:$F,Forecast_History!$A:$A,EDATE(E$5,-1),Forecast_History!$B:$B,$A20,Forecast_History!$E:$E,E$5))</f>
      </c>
      <c r="F23" s="7">
        <f>IF($A20="","",SUMIFS(Forecast_History!$F:$F,Forecast_History!$A:$A,EDATE(F$5,-1),Forecast_History!$B:$B,$A20,Forecast_History!$E:$E,F$5))</f>
      </c>
      <c r="G23" s="7">
        <f>IF($A20="","",SUMIFS(Forecast_History!$F:$F,Forecast_History!$A:$A,EDATE(G$5,-1),Forecast_History!$B:$B,$A20,Forecast_History!$E:$E,G$5))</f>
      </c>
      <c r="H23" s="7">
        <f>IF($A20="","",SUMIFS(Forecast_History!$F:$F,Forecast_History!$A:$A,EDATE(H$5,-1),Forecast_History!$B:$B,$A20,Forecast_History!$E:$E,H$5))</f>
      </c>
      <c r="I23" s="7">
        <f>IF($A20="","",SUMIFS(Forecast_History!$F:$F,Forecast_History!$A:$A,EDATE(I$5,-1),Forecast_History!$B:$B,$A20,Forecast_History!$E:$E,I$5))</f>
      </c>
      <c r="J23" s="7">
        <f>IF($A20="","",SUMIFS(Forecast_History!$F:$F,Forecast_History!$A:$A,EDATE(J$5,-1),Forecast_History!$B:$B,$A20,Forecast_History!$E:$E,J$5))</f>
      </c>
      <c r="K23" s="7">
        <f>IF($A20="","",SUMIFS(Forecast_History!$F:$F,Forecast_History!$A:$A,EDATE(K$5,-1),Forecast_History!$B:$B,$A20,Forecast_History!$E:$E,K$5))</f>
      </c>
      <c r="L23" s="7">
        <f>IF($A20="","",SUMIFS(Forecast_History!$F:$F,Forecast_History!$A:$A,EDATE(L$5,-1),Forecast_History!$B:$B,$A20,Forecast_History!$E:$E,L$5))</f>
      </c>
      <c r="M23" s="7">
        <f>IF($A20="","",SUMIFS(Forecast_History!$F:$F,Forecast_History!$A:$A,EDATE(M$5,-1),Forecast_History!$B:$B,$A20,Forecast_History!$E:$E,M$5))</f>
      </c>
      <c r="N23" s="7">
        <f>IF($A20="","",SUMIFS(Forecast_History!$F:$F,Forecast_History!$A:$A,EDATE(N$5,-1),Forecast_History!$B:$B,$A20,Forecast_History!$E:$E,N$5))</f>
      </c>
      <c r="O23" s="7">
        <f>IF($A20="","",SUMIFS(Forecast_History!$F:$F,Forecast_History!$A:$A,EDATE(O$5,-1),Forecast_History!$B:$B,$A20,Forecast_History!$E:$E,O$5))</f>
      </c>
      <c r="P23" s="7">
        <f>IF($A20="","",SUMIFS(Forecast_History!$F:$F,Forecast_History!$A:$A,EDATE(P$5,-1),Forecast_History!$B:$B,$A20,Forecast_History!$E:$E,P$5))</f>
      </c>
      <c r="Q23" s="7">
        <f>IF(COUNTA(E23:P23)=0,"",SUM(E23:P23))</f>
      </c>
      <c r="R23" s="7">
        <f>IF($A20="","",SUMIFS(Forecast_History!$F:$F,Forecast_History!$A:$A,EDATE(R$5,-1),Forecast_History!$B:$B,$A20,Forecast_History!$E:$E,R$5))</f>
      </c>
      <c r="S23" s="7">
        <f>IF($A20="","",SUMIFS(Forecast_History!$F:$F,Forecast_History!$A:$A,EDATE(S$5,-1),Forecast_History!$B:$B,$A20,Forecast_History!$E:$E,S$5))</f>
      </c>
      <c r="T23" s="7">
        <f>IF($A20="","",SUMIFS(Forecast_History!$F:$F,Forecast_History!$A:$A,EDATE(T$5,-1),Forecast_History!$B:$B,$A20,Forecast_History!$E:$E,T$5))</f>
      </c>
      <c r="U23" s="7">
        <f>IF($A20="","",SUMIFS(Forecast_History!$F:$F,Forecast_History!$A:$A,EDATE(U$5,-1),Forecast_History!$B:$B,$A20,Forecast_History!$E:$E,U$5))</f>
      </c>
      <c r="V23" s="7">
        <f>IF($A20="","",SUMIFS(Forecast_History!$F:$F,Forecast_History!$A:$A,EDATE(V$5,-1),Forecast_History!$B:$B,$A20,Forecast_History!$E:$E,V$5))</f>
      </c>
      <c r="W23" s="7">
        <f>IF($A20="","",SUMIFS(Forecast_History!$F:$F,Forecast_History!$A:$A,EDATE(W$5,-1),Forecast_History!$B:$B,$A20,Forecast_History!$E:$E,W$5))</f>
      </c>
      <c r="X23" s="7">
        <f>IF($A20="","",SUMIFS(Forecast_History!$F:$F,Forecast_History!$A:$A,EDATE(X$5,-1),Forecast_History!$B:$B,$A20,Forecast_History!$E:$E,X$5))</f>
      </c>
      <c r="Y23" s="7">
        <f>IF($A20="","",SUMIFS(Forecast_History!$F:$F,Forecast_History!$A:$A,EDATE(Y$5,-1),Forecast_History!$B:$B,$A20,Forecast_History!$E:$E,Y$5))</f>
      </c>
      <c r="Z23" s="7">
        <f>IF($A20="","",SUMIFS(Forecast_History!$F:$F,Forecast_History!$A:$A,EDATE(Z$5,-1),Forecast_History!$B:$B,$A20,Forecast_History!$E:$E,Z$5))</f>
      </c>
      <c r="AA23" s="7">
        <f>IF($A20="","",SUMIFS(Forecast_History!$F:$F,Forecast_History!$A:$A,EDATE(AA$5,-1),Forecast_History!$B:$B,$A20,Forecast_History!$E:$E,AA$5))</f>
      </c>
      <c r="AB23" s="7">
        <f>IF($A20="","",SUMIFS(Forecast_History!$F:$F,Forecast_History!$A:$A,EDATE(AB$5,-1),Forecast_History!$B:$B,$A20,Forecast_History!$E:$E,AB$5))</f>
      </c>
      <c r="AC23" s="7">
        <f>IF($A20="","",SUMIFS(Forecast_History!$F:$F,Forecast_History!$A:$A,EDATE(AC$5,-1),Forecast_History!$B:$B,$A20,Forecast_History!$E:$E,AC$5))</f>
      </c>
      <c r="AD23" s="7">
        <f>IF(COUNTA(R23:AC23)=0,"",SUM(R23:AC23))</f>
      </c>
      <c r="AE23" s="4"/>
    </row>
    <row r="24">
      <c r="A24" s="11"/>
      <c r="B24" s="11"/>
      <c r="C24" s="11"/>
      <c r="D24" t="inlineStr" s="12">
        <is>
          <t>當月出貨預測</t>
        </is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>
        <f>IF(COUNTA(E24:P24)=0,"",SUM(E24:P24))</f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>
        <f>IF(COUNTA(R24:AC24)=0,"",SUM(R24:AC24))</f>
      </c>
      <c r="AE24" s="4"/>
    </row>
    <row r="25">
      <c r="A25" s="11"/>
      <c r="B25" s="11"/>
      <c r="C25" s="11"/>
      <c r="D25" t="inlineStr" s="7">
        <is>
          <t>目標達成率</t>
        </is>
      </c>
      <c r="E25" s="10">
        <f>IFERROR(E21/E20,"")</f>
      </c>
      <c r="F25" s="10">
        <f>IFERROR(F21/F20,"")</f>
      </c>
      <c r="G25" s="10">
        <f>IFERROR(G21/G20,"")</f>
      </c>
      <c r="H25" s="10">
        <f>IFERROR(H21/H20,"")</f>
      </c>
      <c r="I25" s="10">
        <f>IFERROR(I21/I20,"")</f>
      </c>
      <c r="J25" s="10">
        <f>IFERROR(J21/J20,"")</f>
      </c>
      <c r="K25" s="10">
        <f>IFERROR(K21/K20,"")</f>
      </c>
      <c r="L25" s="10">
        <f>IFERROR(L21/L20,"")</f>
      </c>
      <c r="M25" s="10">
        <f>IFERROR(M21/M20,"")</f>
      </c>
      <c r="N25" s="10">
        <f>IFERROR(N21/N20,"")</f>
      </c>
      <c r="O25" s="10">
        <f>IFERROR(O21/O20,"")</f>
      </c>
      <c r="P25" s="10">
        <f>IFERROR(P21/P20,"")</f>
      </c>
      <c r="Q25" s="7"/>
      <c r="R25" s="10">
        <f>IFERROR(R21/R20,"")</f>
      </c>
      <c r="S25" s="10">
        <f>IFERROR(S21/S20,"")</f>
      </c>
      <c r="T25" s="10">
        <f>IFERROR(T21/T20,"")</f>
      </c>
      <c r="U25" s="10">
        <f>IFERROR(U21/U20,"")</f>
      </c>
      <c r="V25" s="10">
        <f>IFERROR(V21/V20,"")</f>
      </c>
      <c r="W25" s="10">
        <f>IFERROR(W21/W20,"")</f>
      </c>
      <c r="X25" s="10">
        <f>IFERROR(X21/X20,"")</f>
      </c>
      <c r="Y25" s="10">
        <f>IFERROR(Y21/Y20,"")</f>
      </c>
      <c r="Z25" s="10">
        <f>IFERROR(Z21/Z20,"")</f>
      </c>
      <c r="AA25" s="10">
        <f>IFERROR(AA21/AA20,"")</f>
      </c>
      <c r="AB25" s="10">
        <f>IFERROR(AB21/AB20,"")</f>
      </c>
      <c r="AC25" s="10">
        <f>IFERROR(AC21/AC20,"")</f>
      </c>
      <c r="AD25" s="7"/>
      <c r="AE25" s="4"/>
    </row>
    <row r="26">
      <c r="A26" s="11"/>
      <c r="B26" s="11"/>
      <c r="C26" s="11"/>
      <c r="D26" t="inlineStr" s="7">
        <is>
          <t>預估準確率</t>
        </is>
      </c>
      <c r="E26" s="10">
        <f>IFERROR(E21/E24,"")</f>
      </c>
      <c r="F26" s="10">
        <f>IFERROR(F21/F24,"")</f>
      </c>
      <c r="G26" s="10">
        <f>IFERROR(G21/G24,"")</f>
      </c>
      <c r="H26" s="10">
        <f>IFERROR(H21/H24,"")</f>
      </c>
      <c r="I26" s="10">
        <f>IFERROR(I21/I24,"")</f>
      </c>
      <c r="J26" s="10">
        <f>IFERROR(J21/J24,"")</f>
      </c>
      <c r="K26" s="10">
        <f>IFERROR(K21/K24,"")</f>
      </c>
      <c r="L26" s="10">
        <f>IFERROR(L21/L24,"")</f>
      </c>
      <c r="M26" s="10">
        <f>IFERROR(M21/M24,"")</f>
      </c>
      <c r="N26" s="10">
        <f>IFERROR(N21/N24,"")</f>
      </c>
      <c r="O26" s="10">
        <f>IFERROR(O21/O24,"")</f>
      </c>
      <c r="P26" s="10">
        <f>IFERROR(P21/P24,"")</f>
      </c>
      <c r="Q26" s="7"/>
      <c r="R26" s="10">
        <f>IFERROR(R21/R24,"")</f>
      </c>
      <c r="S26" s="10">
        <f>IFERROR(S21/S24,"")</f>
      </c>
      <c r="T26" s="10">
        <f>IFERROR(T21/T24,"")</f>
      </c>
      <c r="U26" s="10">
        <f>IFERROR(U21/U24,"")</f>
      </c>
      <c r="V26" s="10">
        <f>IFERROR(V21/V24,"")</f>
      </c>
      <c r="W26" s="10">
        <f>IFERROR(W21/W24,"")</f>
      </c>
      <c r="X26" s="10">
        <f>IFERROR(X21/X24,"")</f>
      </c>
      <c r="Y26" s="10">
        <f>IFERROR(Y21/Y24,"")</f>
      </c>
      <c r="Z26" s="10">
        <f>IFERROR(Z21/Z24,"")</f>
      </c>
      <c r="AA26" s="10">
        <f>IFERROR(AA21/AA24,"")</f>
      </c>
      <c r="AB26" s="10">
        <f>IFERROR(AB21/AB24,"")</f>
      </c>
      <c r="AC26" s="10">
        <f>IFERROR(AC21/AC24,"")</f>
      </c>
      <c r="AD26" s="7"/>
      <c r="AE26" s="4"/>
    </row>
    <row r="27">
      <c r="A27" t="inlineStr" s="11">
        <is>
          <t>8697343600039</t>
        </is>
      </c>
      <c r="B27" t="inlineStr" s="11">
        <is>
          <t>FEAST IQF FRENCH FRIES 7*7 mm 10x1 kg</t>
        </is>
      </c>
      <c r="C27" t="inlineStr" s="11">
        <is>
          <t>FEAST 7*7mm 薯條</t>
        </is>
      </c>
      <c r="D27" t="inlineStr" s="4">
        <is>
          <t>目標</t>
        </is>
      </c>
      <c r="E27" s="5"/>
      <c r="F27" s="5"/>
      <c r="G27" s="5"/>
      <c r="H27" s="5">
        <v>63.5</v>
      </c>
      <c r="I27" s="5">
        <v>148.98305084745763</v>
      </c>
      <c r="J27" s="5">
        <v>148.98305084745763</v>
      </c>
      <c r="K27" s="5">
        <v>178.77966101694898</v>
      </c>
      <c r="L27" s="5">
        <v>134.08474576271178</v>
      </c>
      <c r="M27" s="5">
        <v>178.77966101694898</v>
      </c>
      <c r="N27" s="5">
        <v>134.08474576271178</v>
      </c>
      <c r="O27" s="5">
        <v>178.77966101694898</v>
      </c>
      <c r="P27" s="5">
        <v>148.98305084745763</v>
      </c>
      <c r="Q27" s="7">
        <f>IF(COUNTA(E27:P27)=0,"",SUM(E27:P27))</f>
      </c>
      <c r="R27" s="5">
        <v>148.98305084745763</v>
      </c>
      <c r="S27" s="5">
        <v>148.98305084745763</v>
      </c>
      <c r="T27" s="5">
        <v>148.98305084745763</v>
      </c>
      <c r="U27" s="5"/>
      <c r="V27" s="5"/>
      <c r="W27" s="5"/>
      <c r="X27" s="5"/>
      <c r="Y27" s="5"/>
      <c r="Z27" s="5"/>
      <c r="AA27" s="5"/>
      <c r="AB27" s="5"/>
      <c r="AC27" s="5"/>
      <c r="AD27" s="7">
        <f>IF(COUNTA(R27:AC27)=0,"",SUM(R27:AC27))</f>
      </c>
      <c r="AE27" s="4"/>
    </row>
    <row r="28">
      <c r="A28" s="11"/>
      <c r="B28" s="11"/>
      <c r="C28" s="11"/>
      <c r="D28" t="inlineStr" s="4">
        <is>
          <t>當月實際出貨</t>
        </is>
      </c>
      <c r="E28" s="5"/>
      <c r="F28" s="5"/>
      <c r="G28" s="5"/>
      <c r="H28" s="5">
        <v>12.7</v>
      </c>
      <c r="I28" s="5">
        <v>29.796610169491526</v>
      </c>
      <c r="J28" s="5"/>
      <c r="K28" s="5"/>
      <c r="L28" s="5"/>
      <c r="M28" s="5"/>
      <c r="N28" s="5"/>
      <c r="O28" s="5"/>
      <c r="P28" s="5"/>
      <c r="Q28" s="7">
        <f>IF(COUNTA(E28:P28)=0,"",SUM(E28:P28))</f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7">
        <f>IF(COUNTA(R28:AC28)=0,"",SUM(R28:AC28))</f>
      </c>
      <c r="AE28" s="4"/>
    </row>
    <row r="29">
      <c r="A29" s="11"/>
      <c r="B29" s="11"/>
      <c r="C29" s="11"/>
      <c r="D29" t="inlineStr" s="12">
        <is>
          <t>實銷</t>
        </is>
      </c>
      <c r="E29" s="13"/>
      <c r="F29" s="13">
        <v>32.4</v>
      </c>
      <c r="G29" s="13">
        <v>26.2</v>
      </c>
      <c r="H29" s="13">
        <v>12.7</v>
      </c>
      <c r="I29" s="13"/>
      <c r="J29" s="13"/>
      <c r="K29" s="13"/>
      <c r="L29" s="13"/>
      <c r="M29" s="13"/>
      <c r="N29" s="13"/>
      <c r="O29" s="13"/>
      <c r="P29" s="13"/>
      <c r="Q29" s="13">
        <f>IF(COUNTA(E29:P29)=0,"",SUM(E29:P29))</f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>
        <f>IF(COUNTA(R29:AC29)=0,"",SUM(R29:AC29))</f>
      </c>
      <c r="AE29" s="4"/>
    </row>
    <row r="30">
      <c r="A30" s="11"/>
      <c r="B30" s="11"/>
      <c r="C30" s="11"/>
      <c r="D30" t="inlineStr" s="4">
        <is>
          <t>N-1預估</t>
        </is>
      </c>
      <c r="E30" s="7">
        <f>IF($A27="","",SUMIFS(Forecast_History!$F:$F,Forecast_History!$A:$A,EDATE(E$5,-1),Forecast_History!$B:$B,$A27,Forecast_History!$E:$E,E$5))</f>
      </c>
      <c r="F30" s="7">
        <f>IF($A27="","",SUMIFS(Forecast_History!$F:$F,Forecast_History!$A:$A,EDATE(F$5,-1),Forecast_History!$B:$B,$A27,Forecast_History!$E:$E,F$5))</f>
      </c>
      <c r="G30" s="7">
        <f>IF($A27="","",SUMIFS(Forecast_History!$F:$F,Forecast_History!$A:$A,EDATE(G$5,-1),Forecast_History!$B:$B,$A27,Forecast_History!$E:$E,G$5))</f>
      </c>
      <c r="H30" s="7">
        <f>IF($A27="","",SUMIFS(Forecast_History!$F:$F,Forecast_History!$A:$A,EDATE(H$5,-1),Forecast_History!$B:$B,$A27,Forecast_History!$E:$E,H$5))</f>
      </c>
      <c r="I30" s="7">
        <f>IF($A27="","",SUMIFS(Forecast_History!$F:$F,Forecast_History!$A:$A,EDATE(I$5,-1),Forecast_History!$B:$B,$A27,Forecast_History!$E:$E,I$5))</f>
      </c>
      <c r="J30" s="7">
        <f>IF($A27="","",SUMIFS(Forecast_History!$F:$F,Forecast_History!$A:$A,EDATE(J$5,-1),Forecast_History!$B:$B,$A27,Forecast_History!$E:$E,J$5))</f>
      </c>
      <c r="K30" s="7">
        <f>IF($A27="","",SUMIFS(Forecast_History!$F:$F,Forecast_History!$A:$A,EDATE(K$5,-1),Forecast_History!$B:$B,$A27,Forecast_History!$E:$E,K$5))</f>
      </c>
      <c r="L30" s="7">
        <f>IF($A27="","",SUMIFS(Forecast_History!$F:$F,Forecast_History!$A:$A,EDATE(L$5,-1),Forecast_History!$B:$B,$A27,Forecast_History!$E:$E,L$5))</f>
      </c>
      <c r="M30" s="7">
        <f>IF($A27="","",SUMIFS(Forecast_History!$F:$F,Forecast_History!$A:$A,EDATE(M$5,-1),Forecast_History!$B:$B,$A27,Forecast_History!$E:$E,M$5))</f>
      </c>
      <c r="N30" s="7">
        <f>IF($A27="","",SUMIFS(Forecast_History!$F:$F,Forecast_History!$A:$A,EDATE(N$5,-1),Forecast_History!$B:$B,$A27,Forecast_History!$E:$E,N$5))</f>
      </c>
      <c r="O30" s="7">
        <f>IF($A27="","",SUMIFS(Forecast_History!$F:$F,Forecast_History!$A:$A,EDATE(O$5,-1),Forecast_History!$B:$B,$A27,Forecast_History!$E:$E,O$5))</f>
      </c>
      <c r="P30" s="7">
        <f>IF($A27="","",SUMIFS(Forecast_History!$F:$F,Forecast_History!$A:$A,EDATE(P$5,-1),Forecast_History!$B:$B,$A27,Forecast_History!$E:$E,P$5))</f>
      </c>
      <c r="Q30" s="7">
        <f>IF(COUNTA(E30:P30)=0,"",SUM(E30:P30))</f>
      </c>
      <c r="R30" s="7">
        <f>IF($A27="","",SUMIFS(Forecast_History!$F:$F,Forecast_History!$A:$A,EDATE(R$5,-1),Forecast_History!$B:$B,$A27,Forecast_History!$E:$E,R$5))</f>
      </c>
      <c r="S30" s="7">
        <f>IF($A27="","",SUMIFS(Forecast_History!$F:$F,Forecast_History!$A:$A,EDATE(S$5,-1),Forecast_History!$B:$B,$A27,Forecast_History!$E:$E,S$5))</f>
      </c>
      <c r="T30" s="7">
        <f>IF($A27="","",SUMIFS(Forecast_History!$F:$F,Forecast_History!$A:$A,EDATE(T$5,-1),Forecast_History!$B:$B,$A27,Forecast_History!$E:$E,T$5))</f>
      </c>
      <c r="U30" s="7">
        <f>IF($A27="","",SUMIFS(Forecast_History!$F:$F,Forecast_History!$A:$A,EDATE(U$5,-1),Forecast_History!$B:$B,$A27,Forecast_History!$E:$E,U$5))</f>
      </c>
      <c r="V30" s="7">
        <f>IF($A27="","",SUMIFS(Forecast_History!$F:$F,Forecast_History!$A:$A,EDATE(V$5,-1),Forecast_History!$B:$B,$A27,Forecast_History!$E:$E,V$5))</f>
      </c>
      <c r="W30" s="7">
        <f>IF($A27="","",SUMIFS(Forecast_History!$F:$F,Forecast_History!$A:$A,EDATE(W$5,-1),Forecast_History!$B:$B,$A27,Forecast_History!$E:$E,W$5))</f>
      </c>
      <c r="X30" s="7">
        <f>IF($A27="","",SUMIFS(Forecast_History!$F:$F,Forecast_History!$A:$A,EDATE(X$5,-1),Forecast_History!$B:$B,$A27,Forecast_History!$E:$E,X$5))</f>
      </c>
      <c r="Y30" s="7">
        <f>IF($A27="","",SUMIFS(Forecast_History!$F:$F,Forecast_History!$A:$A,EDATE(Y$5,-1),Forecast_History!$B:$B,$A27,Forecast_History!$E:$E,Y$5))</f>
      </c>
      <c r="Z30" s="7">
        <f>IF($A27="","",SUMIFS(Forecast_History!$F:$F,Forecast_History!$A:$A,EDATE(Z$5,-1),Forecast_History!$B:$B,$A27,Forecast_History!$E:$E,Z$5))</f>
      </c>
      <c r="AA30" s="7">
        <f>IF($A27="","",SUMIFS(Forecast_History!$F:$F,Forecast_History!$A:$A,EDATE(AA$5,-1),Forecast_History!$B:$B,$A27,Forecast_History!$E:$E,AA$5))</f>
      </c>
      <c r="AB30" s="7">
        <f>IF($A27="","",SUMIFS(Forecast_History!$F:$F,Forecast_History!$A:$A,EDATE(AB$5,-1),Forecast_History!$B:$B,$A27,Forecast_History!$E:$E,AB$5))</f>
      </c>
      <c r="AC30" s="7">
        <f>IF($A27="","",SUMIFS(Forecast_History!$F:$F,Forecast_History!$A:$A,EDATE(AC$5,-1),Forecast_History!$B:$B,$A27,Forecast_History!$E:$E,AC$5))</f>
      </c>
      <c r="AD30" s="7">
        <f>IF(COUNTA(R30:AC30)=0,"",SUM(R30:AC30))</f>
      </c>
      <c r="AE30" s="4"/>
    </row>
    <row r="31">
      <c r="A31" s="11"/>
      <c r="B31" s="11"/>
      <c r="C31" s="11"/>
      <c r="D31" t="inlineStr" s="12">
        <is>
          <t>當月出貨預測</t>
        </is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>
        <f>IF(COUNTA(E31:P31)=0,"",SUM(E31:P31))</f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>
        <f>IF(COUNTA(R31:AC31)=0,"",SUM(R31:AC31))</f>
      </c>
      <c r="AE31" s="4"/>
    </row>
    <row r="32">
      <c r="A32" s="11"/>
      <c r="B32" s="11"/>
      <c r="C32" s="11"/>
      <c r="D32" t="inlineStr" s="7">
        <is>
          <t>目標達成率</t>
        </is>
      </c>
      <c r="E32" s="10">
        <f>IFERROR(E28/E27,"")</f>
      </c>
      <c r="F32" s="10">
        <f>IFERROR(F28/F27,"")</f>
      </c>
      <c r="G32" s="10">
        <f>IFERROR(G28/G27,"")</f>
      </c>
      <c r="H32" s="10">
        <f>IFERROR(H28/H27,"")</f>
      </c>
      <c r="I32" s="10">
        <f>IFERROR(I28/I27,"")</f>
      </c>
      <c r="J32" s="10">
        <f>IFERROR(J28/J27,"")</f>
      </c>
      <c r="K32" s="10">
        <f>IFERROR(K28/K27,"")</f>
      </c>
      <c r="L32" s="10">
        <f>IFERROR(L28/L27,"")</f>
      </c>
      <c r="M32" s="10">
        <f>IFERROR(M28/M27,"")</f>
      </c>
      <c r="N32" s="10">
        <f>IFERROR(N28/N27,"")</f>
      </c>
      <c r="O32" s="10">
        <f>IFERROR(O28/O27,"")</f>
      </c>
      <c r="P32" s="10">
        <f>IFERROR(P28/P27,"")</f>
      </c>
      <c r="Q32" s="7"/>
      <c r="R32" s="10">
        <f>IFERROR(R28/R27,"")</f>
      </c>
      <c r="S32" s="10">
        <f>IFERROR(S28/S27,"")</f>
      </c>
      <c r="T32" s="10">
        <f>IFERROR(T28/T27,"")</f>
      </c>
      <c r="U32" s="10">
        <f>IFERROR(U28/U27,"")</f>
      </c>
      <c r="V32" s="10">
        <f>IFERROR(V28/V27,"")</f>
      </c>
      <c r="W32" s="10">
        <f>IFERROR(W28/W27,"")</f>
      </c>
      <c r="X32" s="10">
        <f>IFERROR(X28/X27,"")</f>
      </c>
      <c r="Y32" s="10">
        <f>IFERROR(Y28/Y27,"")</f>
      </c>
      <c r="Z32" s="10">
        <f>IFERROR(Z28/Z27,"")</f>
      </c>
      <c r="AA32" s="10">
        <f>IFERROR(AA28/AA27,"")</f>
      </c>
      <c r="AB32" s="10">
        <f>IFERROR(AB28/AB27,"")</f>
      </c>
      <c r="AC32" s="10">
        <f>IFERROR(AC28/AC27,"")</f>
      </c>
      <c r="AD32" s="7"/>
      <c r="AE32" s="4"/>
    </row>
    <row r="33">
      <c r="A33" s="11"/>
      <c r="B33" s="11"/>
      <c r="C33" s="11"/>
      <c r="D33" t="inlineStr" s="7">
        <is>
          <t>預估準確率</t>
        </is>
      </c>
      <c r="E33" s="10">
        <f>IFERROR(E28/E31,"")</f>
      </c>
      <c r="F33" s="10">
        <f>IFERROR(F28/F31,"")</f>
      </c>
      <c r="G33" s="10">
        <f>IFERROR(G28/G31,"")</f>
      </c>
      <c r="H33" s="10">
        <f>IFERROR(H28/H31,"")</f>
      </c>
      <c r="I33" s="10">
        <f>IFERROR(I28/I31,"")</f>
      </c>
      <c r="J33" s="10">
        <f>IFERROR(J28/J31,"")</f>
      </c>
      <c r="K33" s="10">
        <f>IFERROR(K28/K31,"")</f>
      </c>
      <c r="L33" s="10">
        <f>IFERROR(L28/L31,"")</f>
      </c>
      <c r="M33" s="10">
        <f>IFERROR(M28/M31,"")</f>
      </c>
      <c r="N33" s="10">
        <f>IFERROR(N28/N31,"")</f>
      </c>
      <c r="O33" s="10">
        <f>IFERROR(O28/O31,"")</f>
      </c>
      <c r="P33" s="10">
        <f>IFERROR(P28/P31,"")</f>
      </c>
      <c r="Q33" s="7"/>
      <c r="R33" s="10">
        <f>IFERROR(R28/R31,"")</f>
      </c>
      <c r="S33" s="10">
        <f>IFERROR(S28/S31,"")</f>
      </c>
      <c r="T33" s="10">
        <f>IFERROR(T28/T31,"")</f>
      </c>
      <c r="U33" s="10">
        <f>IFERROR(U28/U31,"")</f>
      </c>
      <c r="V33" s="10">
        <f>IFERROR(V28/V31,"")</f>
      </c>
      <c r="W33" s="10">
        <f>IFERROR(W28/W31,"")</f>
      </c>
      <c r="X33" s="10">
        <f>IFERROR(X28/X31,"")</f>
      </c>
      <c r="Y33" s="10">
        <f>IFERROR(Y28/Y31,"")</f>
      </c>
      <c r="Z33" s="10">
        <f>IFERROR(Z28/Z31,"")</f>
      </c>
      <c r="AA33" s="10">
        <f>IFERROR(AA28/AA31,"")</f>
      </c>
      <c r="AB33" s="10">
        <f>IFERROR(AB28/AB31,"")</f>
      </c>
      <c r="AC33" s="10">
        <f>IFERROR(AC28/AC31,"")</f>
      </c>
      <c r="AD33" s="7"/>
      <c r="AE33" s="4"/>
    </row>
    <row r="34">
      <c r="A34" t="inlineStr" s="11">
        <is>
          <t>8697343650027</t>
        </is>
      </c>
      <c r="B34" t="inlineStr" s="11">
        <is>
          <t>FEAST IQF ONION RINGS 12*450 GR</t>
        </is>
      </c>
      <c r="C34" t="inlineStr" s="11">
        <is>
          <t>洋蔥圈</t>
        </is>
      </c>
      <c r="D34" t="inlineStr" s="4">
        <is>
          <t>目標</t>
        </is>
      </c>
      <c r="E34" s="5"/>
      <c r="F34" s="5"/>
      <c r="G34" s="5"/>
      <c r="H34" s="5">
        <v>152.89999999999998</v>
      </c>
      <c r="I34" s="5">
        <v>167.6388888888889</v>
      </c>
      <c r="J34" s="5">
        <v>216.94444444444443</v>
      </c>
      <c r="K34" s="5">
        <v>284.1972222222223</v>
      </c>
      <c r="L34" s="5">
        <v>195.25000000000006</v>
      </c>
      <c r="M34" s="5">
        <v>284.1972222222223</v>
      </c>
      <c r="N34" s="5">
        <v>195.25000000000006</v>
      </c>
      <c r="O34" s="5">
        <v>284.1972222222223</v>
      </c>
      <c r="P34" s="5">
        <v>195.25000000000006</v>
      </c>
      <c r="Q34" s="7">
        <f>IF(COUNTA(E34:P34)=0,"",SUM(E34:P34))</f>
      </c>
      <c r="R34" s="5">
        <v>216.94444444444443</v>
      </c>
      <c r="S34" s="5">
        <v>216.94444444444443</v>
      </c>
      <c r="T34" s="5">
        <v>216.94444444444443</v>
      </c>
      <c r="U34" s="5"/>
      <c r="V34" s="5"/>
      <c r="W34" s="5"/>
      <c r="X34" s="5"/>
      <c r="Y34" s="5"/>
      <c r="Z34" s="5"/>
      <c r="AA34" s="5"/>
      <c r="AB34" s="5"/>
      <c r="AC34" s="5"/>
      <c r="AD34" s="7">
        <f>IF(COUNTA(R34:AC34)=0,"",SUM(R34:AC34))</f>
      </c>
      <c r="AE34" s="4"/>
    </row>
    <row r="35">
      <c r="A35" s="11"/>
      <c r="B35" s="11"/>
      <c r="C35" s="11"/>
      <c r="D35" t="inlineStr" s="4">
        <is>
          <t>當月實際出貨</t>
        </is>
      </c>
      <c r="E35" s="5"/>
      <c r="F35" s="5"/>
      <c r="G35" s="5"/>
      <c r="H35" s="5">
        <v>30.58</v>
      </c>
      <c r="I35" s="5">
        <v>33.527777777777786</v>
      </c>
      <c r="J35" s="5"/>
      <c r="K35" s="5"/>
      <c r="L35" s="5"/>
      <c r="M35" s="5"/>
      <c r="N35" s="5"/>
      <c r="O35" s="5"/>
      <c r="P35" s="5"/>
      <c r="Q35" s="7">
        <f>IF(COUNTA(E35:P35)=0,"",SUM(E35:P35))</f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7">
        <f>IF(COUNTA(R35:AC35)=0,"",SUM(R35:AC35))</f>
      </c>
      <c r="AE35" s="4"/>
    </row>
    <row r="36">
      <c r="A36" s="11"/>
      <c r="B36" s="11"/>
      <c r="C36" s="11"/>
      <c r="D36" t="inlineStr" s="12">
        <is>
          <t>實銷</t>
        </is>
      </c>
      <c r="E36" s="13"/>
      <c r="F36" s="13">
        <v>27.333333333333332</v>
      </c>
      <c r="G36" s="13">
        <v>37.75</v>
      </c>
      <c r="H36" s="13">
        <v>30.583333333333332</v>
      </c>
      <c r="I36" s="13"/>
      <c r="J36" s="13"/>
      <c r="K36" s="13"/>
      <c r="L36" s="13"/>
      <c r="M36" s="13"/>
      <c r="N36" s="13"/>
      <c r="O36" s="13"/>
      <c r="P36" s="13"/>
      <c r="Q36" s="13">
        <f>IF(COUNTA(E36:P36)=0,"",SUM(E36:P36))</f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>
        <f>IF(COUNTA(R36:AC36)=0,"",SUM(R36:AC36))</f>
      </c>
      <c r="AE36" s="4"/>
    </row>
    <row r="37">
      <c r="A37" s="11"/>
      <c r="B37" s="11"/>
      <c r="C37" s="11"/>
      <c r="D37" t="inlineStr" s="4">
        <is>
          <t>N-1預估</t>
        </is>
      </c>
      <c r="E37" s="7">
        <f>IF($A34="","",SUMIFS(Forecast_History!$F:$F,Forecast_History!$A:$A,EDATE(E$5,-1),Forecast_History!$B:$B,$A34,Forecast_History!$E:$E,E$5))</f>
      </c>
      <c r="F37" s="7">
        <f>IF($A34="","",SUMIFS(Forecast_History!$F:$F,Forecast_History!$A:$A,EDATE(F$5,-1),Forecast_History!$B:$B,$A34,Forecast_History!$E:$E,F$5))</f>
      </c>
      <c r="G37" s="7">
        <f>IF($A34="","",SUMIFS(Forecast_History!$F:$F,Forecast_History!$A:$A,EDATE(G$5,-1),Forecast_History!$B:$B,$A34,Forecast_History!$E:$E,G$5))</f>
      </c>
      <c r="H37" s="7">
        <f>IF($A34="","",SUMIFS(Forecast_History!$F:$F,Forecast_History!$A:$A,EDATE(H$5,-1),Forecast_History!$B:$B,$A34,Forecast_History!$E:$E,H$5))</f>
      </c>
      <c r="I37" s="7">
        <f>IF($A34="","",SUMIFS(Forecast_History!$F:$F,Forecast_History!$A:$A,EDATE(I$5,-1),Forecast_History!$B:$B,$A34,Forecast_History!$E:$E,I$5))</f>
      </c>
      <c r="J37" s="7">
        <f>IF($A34="","",SUMIFS(Forecast_History!$F:$F,Forecast_History!$A:$A,EDATE(J$5,-1),Forecast_History!$B:$B,$A34,Forecast_History!$E:$E,J$5))</f>
      </c>
      <c r="K37" s="7">
        <f>IF($A34="","",SUMIFS(Forecast_History!$F:$F,Forecast_History!$A:$A,EDATE(K$5,-1),Forecast_History!$B:$B,$A34,Forecast_History!$E:$E,K$5))</f>
      </c>
      <c r="L37" s="7">
        <f>IF($A34="","",SUMIFS(Forecast_History!$F:$F,Forecast_History!$A:$A,EDATE(L$5,-1),Forecast_History!$B:$B,$A34,Forecast_History!$E:$E,L$5))</f>
      </c>
      <c r="M37" s="7">
        <f>IF($A34="","",SUMIFS(Forecast_History!$F:$F,Forecast_History!$A:$A,EDATE(M$5,-1),Forecast_History!$B:$B,$A34,Forecast_History!$E:$E,M$5))</f>
      </c>
      <c r="N37" s="7">
        <f>IF($A34="","",SUMIFS(Forecast_History!$F:$F,Forecast_History!$A:$A,EDATE(N$5,-1),Forecast_History!$B:$B,$A34,Forecast_History!$E:$E,N$5))</f>
      </c>
      <c r="O37" s="7">
        <f>IF($A34="","",SUMIFS(Forecast_History!$F:$F,Forecast_History!$A:$A,EDATE(O$5,-1),Forecast_History!$B:$B,$A34,Forecast_History!$E:$E,O$5))</f>
      </c>
      <c r="P37" s="7">
        <f>IF($A34="","",SUMIFS(Forecast_History!$F:$F,Forecast_History!$A:$A,EDATE(P$5,-1),Forecast_History!$B:$B,$A34,Forecast_History!$E:$E,P$5))</f>
      </c>
      <c r="Q37" s="7">
        <f>IF(COUNTA(E37:P37)=0,"",SUM(E37:P37))</f>
      </c>
      <c r="R37" s="7">
        <f>IF($A34="","",SUMIFS(Forecast_History!$F:$F,Forecast_History!$A:$A,EDATE(R$5,-1),Forecast_History!$B:$B,$A34,Forecast_History!$E:$E,R$5))</f>
      </c>
      <c r="S37" s="7">
        <f>IF($A34="","",SUMIFS(Forecast_History!$F:$F,Forecast_History!$A:$A,EDATE(S$5,-1),Forecast_History!$B:$B,$A34,Forecast_History!$E:$E,S$5))</f>
      </c>
      <c r="T37" s="7">
        <f>IF($A34="","",SUMIFS(Forecast_History!$F:$F,Forecast_History!$A:$A,EDATE(T$5,-1),Forecast_History!$B:$B,$A34,Forecast_History!$E:$E,T$5))</f>
      </c>
      <c r="U37" s="7">
        <f>IF($A34="","",SUMIFS(Forecast_History!$F:$F,Forecast_History!$A:$A,EDATE(U$5,-1),Forecast_History!$B:$B,$A34,Forecast_History!$E:$E,U$5))</f>
      </c>
      <c r="V37" s="7">
        <f>IF($A34="","",SUMIFS(Forecast_History!$F:$F,Forecast_History!$A:$A,EDATE(V$5,-1),Forecast_History!$B:$B,$A34,Forecast_History!$E:$E,V$5))</f>
      </c>
      <c r="W37" s="7">
        <f>IF($A34="","",SUMIFS(Forecast_History!$F:$F,Forecast_History!$A:$A,EDATE(W$5,-1),Forecast_History!$B:$B,$A34,Forecast_History!$E:$E,W$5))</f>
      </c>
      <c r="X37" s="7">
        <f>IF($A34="","",SUMIFS(Forecast_History!$F:$F,Forecast_History!$A:$A,EDATE(X$5,-1),Forecast_History!$B:$B,$A34,Forecast_History!$E:$E,X$5))</f>
      </c>
      <c r="Y37" s="7">
        <f>IF($A34="","",SUMIFS(Forecast_History!$F:$F,Forecast_History!$A:$A,EDATE(Y$5,-1),Forecast_History!$B:$B,$A34,Forecast_History!$E:$E,Y$5))</f>
      </c>
      <c r="Z37" s="7">
        <f>IF($A34="","",SUMIFS(Forecast_History!$F:$F,Forecast_History!$A:$A,EDATE(Z$5,-1),Forecast_History!$B:$B,$A34,Forecast_History!$E:$E,Z$5))</f>
      </c>
      <c r="AA37" s="7">
        <f>IF($A34="","",SUMIFS(Forecast_History!$F:$F,Forecast_History!$A:$A,EDATE(AA$5,-1),Forecast_History!$B:$B,$A34,Forecast_History!$E:$E,AA$5))</f>
      </c>
      <c r="AB37" s="7">
        <f>IF($A34="","",SUMIFS(Forecast_History!$F:$F,Forecast_History!$A:$A,EDATE(AB$5,-1),Forecast_History!$B:$B,$A34,Forecast_History!$E:$E,AB$5))</f>
      </c>
      <c r="AC37" s="7">
        <f>IF($A34="","",SUMIFS(Forecast_History!$F:$F,Forecast_History!$A:$A,EDATE(AC$5,-1),Forecast_History!$B:$B,$A34,Forecast_History!$E:$E,AC$5))</f>
      </c>
      <c r="AD37" s="7">
        <f>IF(COUNTA(R37:AC37)=0,"",SUM(R37:AC37))</f>
      </c>
      <c r="AE37" s="4"/>
    </row>
    <row r="38">
      <c r="A38" s="11"/>
      <c r="B38" s="11"/>
      <c r="C38" s="11"/>
      <c r="D38" t="inlineStr" s="12">
        <is>
          <t>當月出貨預測</t>
        </is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f>IF(COUNTA(E38:P38)=0,"",SUM(E38:P38))</f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>
        <f>IF(COUNTA(R38:AC38)=0,"",SUM(R38:AC38))</f>
      </c>
      <c r="AE38" s="4"/>
    </row>
    <row r="39">
      <c r="A39" s="11"/>
      <c r="B39" s="11"/>
      <c r="C39" s="11"/>
      <c r="D39" t="inlineStr" s="7">
        <is>
          <t>目標達成率</t>
        </is>
      </c>
      <c r="E39" s="10">
        <f>IFERROR(E35/E34,"")</f>
      </c>
      <c r="F39" s="10">
        <f>IFERROR(F35/F34,"")</f>
      </c>
      <c r="G39" s="10">
        <f>IFERROR(G35/G34,"")</f>
      </c>
      <c r="H39" s="10">
        <f>IFERROR(H35/H34,"")</f>
      </c>
      <c r="I39" s="10">
        <f>IFERROR(I35/I34,"")</f>
      </c>
      <c r="J39" s="10">
        <f>IFERROR(J35/J34,"")</f>
      </c>
      <c r="K39" s="10">
        <f>IFERROR(K35/K34,"")</f>
      </c>
      <c r="L39" s="10">
        <f>IFERROR(L35/L34,"")</f>
      </c>
      <c r="M39" s="10">
        <f>IFERROR(M35/M34,"")</f>
      </c>
      <c r="N39" s="10">
        <f>IFERROR(N35/N34,"")</f>
      </c>
      <c r="O39" s="10">
        <f>IFERROR(O35/O34,"")</f>
      </c>
      <c r="P39" s="10">
        <f>IFERROR(P35/P34,"")</f>
      </c>
      <c r="Q39" s="7"/>
      <c r="R39" s="10">
        <f>IFERROR(R35/R34,"")</f>
      </c>
      <c r="S39" s="10">
        <f>IFERROR(S35/S34,"")</f>
      </c>
      <c r="T39" s="10">
        <f>IFERROR(T35/T34,"")</f>
      </c>
      <c r="U39" s="10">
        <f>IFERROR(U35/U34,"")</f>
      </c>
      <c r="V39" s="10">
        <f>IFERROR(V35/V34,"")</f>
      </c>
      <c r="W39" s="10">
        <f>IFERROR(W35/W34,"")</f>
      </c>
      <c r="X39" s="10">
        <f>IFERROR(X35/X34,"")</f>
      </c>
      <c r="Y39" s="10">
        <f>IFERROR(Y35/Y34,"")</f>
      </c>
      <c r="Z39" s="10">
        <f>IFERROR(Z35/Z34,"")</f>
      </c>
      <c r="AA39" s="10">
        <f>IFERROR(AA35/AA34,"")</f>
      </c>
      <c r="AB39" s="10">
        <f>IFERROR(AB35/AB34,"")</f>
      </c>
      <c r="AC39" s="10">
        <f>IFERROR(AC35/AC34,"")</f>
      </c>
      <c r="AD39" s="7"/>
      <c r="AE39" s="4"/>
    </row>
    <row r="40">
      <c r="A40" s="11"/>
      <c r="B40" s="11"/>
      <c r="C40" s="11"/>
      <c r="D40" t="inlineStr" s="7">
        <is>
          <t>預估準確率</t>
        </is>
      </c>
      <c r="E40" s="10">
        <f>IFERROR(E35/E38,"")</f>
      </c>
      <c r="F40" s="10">
        <f>IFERROR(F35/F38,"")</f>
      </c>
      <c r="G40" s="10">
        <f>IFERROR(G35/G38,"")</f>
      </c>
      <c r="H40" s="10">
        <f>IFERROR(H35/H38,"")</f>
      </c>
      <c r="I40" s="10">
        <f>IFERROR(I35/I38,"")</f>
      </c>
      <c r="J40" s="10">
        <f>IFERROR(J35/J38,"")</f>
      </c>
      <c r="K40" s="10">
        <f>IFERROR(K35/K38,"")</f>
      </c>
      <c r="L40" s="10">
        <f>IFERROR(L35/L38,"")</f>
      </c>
      <c r="M40" s="10">
        <f>IFERROR(M35/M38,"")</f>
      </c>
      <c r="N40" s="10">
        <f>IFERROR(N35/N38,"")</f>
      </c>
      <c r="O40" s="10">
        <f>IFERROR(O35/O38,"")</f>
      </c>
      <c r="P40" s="10">
        <f>IFERROR(P35/P38,"")</f>
      </c>
      <c r="Q40" s="7"/>
      <c r="R40" s="10">
        <f>IFERROR(R35/R38,"")</f>
      </c>
      <c r="S40" s="10">
        <f>IFERROR(S35/S38,"")</f>
      </c>
      <c r="T40" s="10">
        <f>IFERROR(T35/T38,"")</f>
      </c>
      <c r="U40" s="10">
        <f>IFERROR(U35/U38,"")</f>
      </c>
      <c r="V40" s="10">
        <f>IFERROR(V35/V38,"")</f>
      </c>
      <c r="W40" s="10">
        <f>IFERROR(W35/W38,"")</f>
      </c>
      <c r="X40" s="10">
        <f>IFERROR(X35/X38,"")</f>
      </c>
      <c r="Y40" s="10">
        <f>IFERROR(Y35/Y38,"")</f>
      </c>
      <c r="Z40" s="10">
        <f>IFERROR(Z35/Z38,"")</f>
      </c>
      <c r="AA40" s="10">
        <f>IFERROR(AA35/AA38,"")</f>
      </c>
      <c r="AB40" s="10">
        <f>IFERROR(AB35/AB38,"")</f>
      </c>
      <c r="AC40" s="10">
        <f>IFERROR(AC35/AC38,"")</f>
      </c>
      <c r="AD40" s="7"/>
      <c r="AE40" s="4"/>
    </row>
    <row r="41">
      <c r="A41" t="inlineStr" s="11">
        <is>
          <t>8697343550129</t>
        </is>
      </c>
      <c r="B41" t="inlineStr" s="11">
        <is>
          <t>FEAST IQF BROCCOLI 12*500 g</t>
        </is>
      </c>
      <c r="C41" t="inlineStr" s="11">
        <is>
          <t>急凍青花菜</t>
        </is>
      </c>
      <c r="D41" t="inlineStr" s="4">
        <is>
          <t>目標</t>
        </is>
      </c>
      <c r="E41" s="5"/>
      <c r="F41" s="5"/>
      <c r="G41" s="5"/>
      <c r="H41" s="5">
        <v>79.58333333333333</v>
      </c>
      <c r="I41" s="5">
        <v>69.73684210526315</v>
      </c>
      <c r="J41" s="5">
        <v>69.73684210526315</v>
      </c>
      <c r="K41" s="5">
        <v>80.19736842105245</v>
      </c>
      <c r="L41" s="5">
        <v>80.19736842105245</v>
      </c>
      <c r="M41" s="5">
        <v>80.19736842105245</v>
      </c>
      <c r="N41" s="5">
        <v>80.19736842105245</v>
      </c>
      <c r="O41" s="5">
        <v>80.19736842105245</v>
      </c>
      <c r="P41" s="5">
        <v>80.19736842105245</v>
      </c>
      <c r="Q41" s="7">
        <f>IF(COUNTA(E41:P41)=0,"",SUM(E41:P41))</f>
      </c>
      <c r="R41" s="5">
        <v>69.73684210526315</v>
      </c>
      <c r="S41" s="5">
        <v>69.73684210526315</v>
      </c>
      <c r="T41" s="5">
        <v>69.73684210526315</v>
      </c>
      <c r="U41" s="5"/>
      <c r="V41" s="5"/>
      <c r="W41" s="5"/>
      <c r="X41" s="5"/>
      <c r="Y41" s="5"/>
      <c r="Z41" s="5"/>
      <c r="AA41" s="5"/>
      <c r="AB41" s="5"/>
      <c r="AC41" s="5"/>
      <c r="AD41" s="7">
        <f>IF(COUNTA(R41:AC41)=0,"",SUM(R41:AC41))</f>
      </c>
      <c r="AE41" s="4"/>
    </row>
    <row r="42">
      <c r="A42" s="11"/>
      <c r="B42" s="11"/>
      <c r="C42" s="11"/>
      <c r="D42" t="inlineStr" s="4">
        <is>
          <t>當月實際出貨</t>
        </is>
      </c>
      <c r="E42" s="5"/>
      <c r="F42" s="5"/>
      <c r="G42" s="5"/>
      <c r="H42" s="5">
        <v>15.916666666666666</v>
      </c>
      <c r="I42" s="5">
        <v>13.94736842105263</v>
      </c>
      <c r="J42" s="5"/>
      <c r="K42" s="5"/>
      <c r="L42" s="5"/>
      <c r="M42" s="5"/>
      <c r="N42" s="5"/>
      <c r="O42" s="5"/>
      <c r="P42" s="5"/>
      <c r="Q42" s="7">
        <f>IF(COUNTA(E42:P42)=0,"",SUM(E42:P42))</f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7">
        <f>IF(COUNTA(R42:AC42)=0,"",SUM(R42:AC42))</f>
      </c>
      <c r="AE42" s="4"/>
    </row>
    <row r="43">
      <c r="A43" s="11"/>
      <c r="B43" s="11"/>
      <c r="C43" s="11"/>
      <c r="D43" t="inlineStr" s="12">
        <is>
          <t>實銷</t>
        </is>
      </c>
      <c r="E43" s="13"/>
      <c r="F43" s="13">
        <v>13.916666666666666</v>
      </c>
      <c r="G43" s="13">
        <v>12.583333333333334</v>
      </c>
      <c r="H43" s="13">
        <v>15.916666666666666</v>
      </c>
      <c r="I43" s="13"/>
      <c r="J43" s="13"/>
      <c r="K43" s="13"/>
      <c r="L43" s="13"/>
      <c r="M43" s="13"/>
      <c r="N43" s="13"/>
      <c r="O43" s="13"/>
      <c r="P43" s="13"/>
      <c r="Q43" s="13">
        <f>IF(COUNTA(E43:P43)=0,"",SUM(E43:P43))</f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>
        <f>IF(COUNTA(R43:AC43)=0,"",SUM(R43:AC43))</f>
      </c>
      <c r="AE43" s="4"/>
    </row>
    <row r="44">
      <c r="A44" s="11"/>
      <c r="B44" s="11"/>
      <c r="C44" s="11"/>
      <c r="D44" t="inlineStr" s="4">
        <is>
          <t>N-1預估</t>
        </is>
      </c>
      <c r="E44" s="7">
        <f>IF($A41="","",SUMIFS(Forecast_History!$F:$F,Forecast_History!$A:$A,EDATE(E$5,-1),Forecast_History!$B:$B,$A41,Forecast_History!$E:$E,E$5))</f>
      </c>
      <c r="F44" s="7">
        <f>IF($A41="","",SUMIFS(Forecast_History!$F:$F,Forecast_History!$A:$A,EDATE(F$5,-1),Forecast_History!$B:$B,$A41,Forecast_History!$E:$E,F$5))</f>
      </c>
      <c r="G44" s="7">
        <f>IF($A41="","",SUMIFS(Forecast_History!$F:$F,Forecast_History!$A:$A,EDATE(G$5,-1),Forecast_History!$B:$B,$A41,Forecast_History!$E:$E,G$5))</f>
      </c>
      <c r="H44" s="7">
        <f>IF($A41="","",SUMIFS(Forecast_History!$F:$F,Forecast_History!$A:$A,EDATE(H$5,-1),Forecast_History!$B:$B,$A41,Forecast_History!$E:$E,H$5))</f>
      </c>
      <c r="I44" s="7">
        <f>IF($A41="","",SUMIFS(Forecast_History!$F:$F,Forecast_History!$A:$A,EDATE(I$5,-1),Forecast_History!$B:$B,$A41,Forecast_History!$E:$E,I$5))</f>
      </c>
      <c r="J44" s="7">
        <f>IF($A41="","",SUMIFS(Forecast_History!$F:$F,Forecast_History!$A:$A,EDATE(J$5,-1),Forecast_History!$B:$B,$A41,Forecast_History!$E:$E,J$5))</f>
      </c>
      <c r="K44" s="7">
        <f>IF($A41="","",SUMIFS(Forecast_History!$F:$F,Forecast_History!$A:$A,EDATE(K$5,-1),Forecast_History!$B:$B,$A41,Forecast_History!$E:$E,K$5))</f>
      </c>
      <c r="L44" s="7">
        <f>IF($A41="","",SUMIFS(Forecast_History!$F:$F,Forecast_History!$A:$A,EDATE(L$5,-1),Forecast_History!$B:$B,$A41,Forecast_History!$E:$E,L$5))</f>
      </c>
      <c r="M44" s="7">
        <f>IF($A41="","",SUMIFS(Forecast_History!$F:$F,Forecast_History!$A:$A,EDATE(M$5,-1),Forecast_History!$B:$B,$A41,Forecast_History!$E:$E,M$5))</f>
      </c>
      <c r="N44" s="7">
        <f>IF($A41="","",SUMIFS(Forecast_History!$F:$F,Forecast_History!$A:$A,EDATE(N$5,-1),Forecast_History!$B:$B,$A41,Forecast_History!$E:$E,N$5))</f>
      </c>
      <c r="O44" s="7">
        <f>IF($A41="","",SUMIFS(Forecast_History!$F:$F,Forecast_History!$A:$A,EDATE(O$5,-1),Forecast_History!$B:$B,$A41,Forecast_History!$E:$E,O$5))</f>
      </c>
      <c r="P44" s="7">
        <f>IF($A41="","",SUMIFS(Forecast_History!$F:$F,Forecast_History!$A:$A,EDATE(P$5,-1),Forecast_History!$B:$B,$A41,Forecast_History!$E:$E,P$5))</f>
      </c>
      <c r="Q44" s="7">
        <f>IF(COUNTA(E44:P44)=0,"",SUM(E44:P44))</f>
      </c>
      <c r="R44" s="7">
        <f>IF($A41="","",SUMIFS(Forecast_History!$F:$F,Forecast_History!$A:$A,EDATE(R$5,-1),Forecast_History!$B:$B,$A41,Forecast_History!$E:$E,R$5))</f>
      </c>
      <c r="S44" s="7">
        <f>IF($A41="","",SUMIFS(Forecast_History!$F:$F,Forecast_History!$A:$A,EDATE(S$5,-1),Forecast_History!$B:$B,$A41,Forecast_History!$E:$E,S$5))</f>
      </c>
      <c r="T44" s="7">
        <f>IF($A41="","",SUMIFS(Forecast_History!$F:$F,Forecast_History!$A:$A,EDATE(T$5,-1),Forecast_History!$B:$B,$A41,Forecast_History!$E:$E,T$5))</f>
      </c>
      <c r="U44" s="7">
        <f>IF($A41="","",SUMIFS(Forecast_History!$F:$F,Forecast_History!$A:$A,EDATE(U$5,-1),Forecast_History!$B:$B,$A41,Forecast_History!$E:$E,U$5))</f>
      </c>
      <c r="V44" s="7">
        <f>IF($A41="","",SUMIFS(Forecast_History!$F:$F,Forecast_History!$A:$A,EDATE(V$5,-1),Forecast_History!$B:$B,$A41,Forecast_History!$E:$E,V$5))</f>
      </c>
      <c r="W44" s="7">
        <f>IF($A41="","",SUMIFS(Forecast_History!$F:$F,Forecast_History!$A:$A,EDATE(W$5,-1),Forecast_History!$B:$B,$A41,Forecast_History!$E:$E,W$5))</f>
      </c>
      <c r="X44" s="7">
        <f>IF($A41="","",SUMIFS(Forecast_History!$F:$F,Forecast_History!$A:$A,EDATE(X$5,-1),Forecast_History!$B:$B,$A41,Forecast_History!$E:$E,X$5))</f>
      </c>
      <c r="Y44" s="7">
        <f>IF($A41="","",SUMIFS(Forecast_History!$F:$F,Forecast_History!$A:$A,EDATE(Y$5,-1),Forecast_History!$B:$B,$A41,Forecast_History!$E:$E,Y$5))</f>
      </c>
      <c r="Z44" s="7">
        <f>IF($A41="","",SUMIFS(Forecast_History!$F:$F,Forecast_History!$A:$A,EDATE(Z$5,-1),Forecast_History!$B:$B,$A41,Forecast_History!$E:$E,Z$5))</f>
      </c>
      <c r="AA44" s="7">
        <f>IF($A41="","",SUMIFS(Forecast_History!$F:$F,Forecast_History!$A:$A,EDATE(AA$5,-1),Forecast_History!$B:$B,$A41,Forecast_History!$E:$E,AA$5))</f>
      </c>
      <c r="AB44" s="7">
        <f>IF($A41="","",SUMIFS(Forecast_History!$F:$F,Forecast_History!$A:$A,EDATE(AB$5,-1),Forecast_History!$B:$B,$A41,Forecast_History!$E:$E,AB$5))</f>
      </c>
      <c r="AC44" s="7">
        <f>IF($A41="","",SUMIFS(Forecast_History!$F:$F,Forecast_History!$A:$A,EDATE(AC$5,-1),Forecast_History!$B:$B,$A41,Forecast_History!$E:$E,AC$5))</f>
      </c>
      <c r="AD44" s="7">
        <f>IF(COUNTA(R44:AC44)=0,"",SUM(R44:AC44))</f>
      </c>
      <c r="AE44" s="4"/>
    </row>
    <row r="45">
      <c r="A45" s="11"/>
      <c r="B45" s="11"/>
      <c r="C45" s="11"/>
      <c r="D45" t="inlineStr" s="12">
        <is>
          <t>當月出貨預測</t>
        </is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>
        <f>IF(COUNTA(E45:P45)=0,"",SUM(E45:P45))</f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>
        <f>IF(COUNTA(R45:AC45)=0,"",SUM(R45:AC45))</f>
      </c>
      <c r="AE45" s="4"/>
    </row>
    <row r="46">
      <c r="A46" s="11"/>
      <c r="B46" s="11"/>
      <c r="C46" s="11"/>
      <c r="D46" t="inlineStr" s="7">
        <is>
          <t>目標達成率</t>
        </is>
      </c>
      <c r="E46" s="10">
        <f>IFERROR(E42/E41,"")</f>
      </c>
      <c r="F46" s="10">
        <f>IFERROR(F42/F41,"")</f>
      </c>
      <c r="G46" s="10">
        <f>IFERROR(G42/G41,"")</f>
      </c>
      <c r="H46" s="10">
        <f>IFERROR(H42/H41,"")</f>
      </c>
      <c r="I46" s="10">
        <f>IFERROR(I42/I41,"")</f>
      </c>
      <c r="J46" s="10">
        <f>IFERROR(J42/J41,"")</f>
      </c>
      <c r="K46" s="10">
        <f>IFERROR(K42/K41,"")</f>
      </c>
      <c r="L46" s="10">
        <f>IFERROR(L42/L41,"")</f>
      </c>
      <c r="M46" s="10">
        <f>IFERROR(M42/M41,"")</f>
      </c>
      <c r="N46" s="10">
        <f>IFERROR(N42/N41,"")</f>
      </c>
      <c r="O46" s="10">
        <f>IFERROR(O42/O41,"")</f>
      </c>
      <c r="P46" s="10">
        <f>IFERROR(P42/P41,"")</f>
      </c>
      <c r="Q46" s="7"/>
      <c r="R46" s="10">
        <f>IFERROR(R42/R41,"")</f>
      </c>
      <c r="S46" s="10">
        <f>IFERROR(S42/S41,"")</f>
      </c>
      <c r="T46" s="10">
        <f>IFERROR(T42/T41,"")</f>
      </c>
      <c r="U46" s="10">
        <f>IFERROR(U42/U41,"")</f>
      </c>
      <c r="V46" s="10">
        <f>IFERROR(V42/V41,"")</f>
      </c>
      <c r="W46" s="10">
        <f>IFERROR(W42/W41,"")</f>
      </c>
      <c r="X46" s="10">
        <f>IFERROR(X42/X41,"")</f>
      </c>
      <c r="Y46" s="10">
        <f>IFERROR(Y42/Y41,"")</f>
      </c>
      <c r="Z46" s="10">
        <f>IFERROR(Z42/Z41,"")</f>
      </c>
      <c r="AA46" s="10">
        <f>IFERROR(AA42/AA41,"")</f>
      </c>
      <c r="AB46" s="10">
        <f>IFERROR(AB42/AB41,"")</f>
      </c>
      <c r="AC46" s="10">
        <f>IFERROR(AC42/AC41,"")</f>
      </c>
      <c r="AD46" s="7"/>
      <c r="AE46" s="4"/>
    </row>
    <row r="47">
      <c r="A47" s="11"/>
      <c r="B47" s="11"/>
      <c r="C47" s="11"/>
      <c r="D47" t="inlineStr" s="7">
        <is>
          <t>預估準確率</t>
        </is>
      </c>
      <c r="E47" s="10">
        <f>IFERROR(E42/E45,"")</f>
      </c>
      <c r="F47" s="10">
        <f>IFERROR(F42/F45,"")</f>
      </c>
      <c r="G47" s="10">
        <f>IFERROR(G42/G45,"")</f>
      </c>
      <c r="H47" s="10">
        <f>IFERROR(H42/H45,"")</f>
      </c>
      <c r="I47" s="10">
        <f>IFERROR(I42/I45,"")</f>
      </c>
      <c r="J47" s="10">
        <f>IFERROR(J42/J45,"")</f>
      </c>
      <c r="K47" s="10">
        <f>IFERROR(K42/K45,"")</f>
      </c>
      <c r="L47" s="10">
        <f>IFERROR(L42/L45,"")</f>
      </c>
      <c r="M47" s="10">
        <f>IFERROR(M42/M45,"")</f>
      </c>
      <c r="N47" s="10">
        <f>IFERROR(N42/N45,"")</f>
      </c>
      <c r="O47" s="10">
        <f>IFERROR(O42/O45,"")</f>
      </c>
      <c r="P47" s="10">
        <f>IFERROR(P42/P45,"")</f>
      </c>
      <c r="Q47" s="7"/>
      <c r="R47" s="10">
        <f>IFERROR(R42/R45,"")</f>
      </c>
      <c r="S47" s="10">
        <f>IFERROR(S42/S45,"")</f>
      </c>
      <c r="T47" s="10">
        <f>IFERROR(T42/T45,"")</f>
      </c>
      <c r="U47" s="10">
        <f>IFERROR(U42/U45,"")</f>
      </c>
      <c r="V47" s="10">
        <f>IFERROR(V42/V45,"")</f>
      </c>
      <c r="W47" s="10">
        <f>IFERROR(W42/W45,"")</f>
      </c>
      <c r="X47" s="10">
        <f>IFERROR(X42/X45,"")</f>
      </c>
      <c r="Y47" s="10">
        <f>IFERROR(Y42/Y45,"")</f>
      </c>
      <c r="Z47" s="10">
        <f>IFERROR(Z42/Z45,"")</f>
      </c>
      <c r="AA47" s="10">
        <f>IFERROR(AA42/AA45,"")</f>
      </c>
      <c r="AB47" s="10">
        <f>IFERROR(AB42/AB45,"")</f>
      </c>
      <c r="AC47" s="10">
        <f>IFERROR(AC42/AC45,"")</f>
      </c>
      <c r="AD47" s="7"/>
      <c r="AE47" s="4"/>
    </row>
    <row r="48">
      <c r="A48" t="inlineStr" s="11">
        <is>
          <t>8697343500200</t>
        </is>
      </c>
      <c r="B48" t="inlineStr" s="11">
        <is>
          <t>FEAST IQF GREEN BEANS 16*450 GR</t>
        </is>
      </c>
      <c r="C48" t="inlineStr" s="11">
        <is>
          <t>急凍四季豆</t>
        </is>
      </c>
      <c r="D48" t="inlineStr" s="4">
        <is>
          <t>目標</t>
        </is>
      </c>
      <c r="E48" s="5"/>
      <c r="F48" s="5"/>
      <c r="G48" s="5"/>
      <c r="H48" s="5">
        <v>33.125</v>
      </c>
      <c r="I48" s="5">
        <v>28.601694915254235</v>
      </c>
      <c r="J48" s="5">
        <v>28.601694915254235</v>
      </c>
      <c r="K48" s="5">
        <v>28.601694915254235</v>
      </c>
      <c r="L48" s="5">
        <v>32.3199152542373</v>
      </c>
      <c r="M48" s="5">
        <v>27.17161016949154</v>
      </c>
      <c r="N48" s="5">
        <v>32.3199152542373</v>
      </c>
      <c r="O48" s="5">
        <v>27.17161016949154</v>
      </c>
      <c r="P48" s="5">
        <v>32.3199152542373</v>
      </c>
      <c r="Q48" s="7">
        <f>IF(COUNTA(E48:P48)=0,"",SUM(E48:P48))</f>
      </c>
      <c r="R48" s="5">
        <v>28.601694915254235</v>
      </c>
      <c r="S48" s="5">
        <v>28.601694915254235</v>
      </c>
      <c r="T48" s="5">
        <v>28.601694915254235</v>
      </c>
      <c r="U48" s="5"/>
      <c r="V48" s="5"/>
      <c r="W48" s="5"/>
      <c r="X48" s="5"/>
      <c r="Y48" s="5"/>
      <c r="Z48" s="5"/>
      <c r="AA48" s="5"/>
      <c r="AB48" s="5"/>
      <c r="AC48" s="5"/>
      <c r="AD48" s="7">
        <f>IF(COUNTA(R48:AC48)=0,"",SUM(R48:AC48))</f>
      </c>
      <c r="AE48" s="4"/>
    </row>
    <row r="49">
      <c r="A49" s="11"/>
      <c r="B49" s="11"/>
      <c r="C49" s="11"/>
      <c r="D49" t="inlineStr" s="4">
        <is>
          <t>當月實際出貨</t>
        </is>
      </c>
      <c r="E49" s="5"/>
      <c r="F49" s="5"/>
      <c r="G49" s="5"/>
      <c r="H49" s="5">
        <v>6.625</v>
      </c>
      <c r="I49" s="5">
        <v>5.720338983050847</v>
      </c>
      <c r="J49" s="5"/>
      <c r="K49" s="5"/>
      <c r="L49" s="5"/>
      <c r="M49" s="5"/>
      <c r="N49" s="5"/>
      <c r="O49" s="5"/>
      <c r="P49" s="5"/>
      <c r="Q49" s="7">
        <f>IF(COUNTA(E49:P49)=0,"",SUM(E49:P49))</f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7">
        <f>IF(COUNTA(R49:AC49)=0,"",SUM(R49:AC49))</f>
      </c>
      <c r="AE49" s="4"/>
    </row>
    <row r="50">
      <c r="A50" s="11"/>
      <c r="B50" s="11"/>
      <c r="C50" s="11"/>
      <c r="D50" t="inlineStr" s="12">
        <is>
          <t>實銷</t>
        </is>
      </c>
      <c r="E50" s="13"/>
      <c r="F50" s="13">
        <v>6.0625</v>
      </c>
      <c r="G50" s="13">
        <v>5.1875</v>
      </c>
      <c r="H50" s="13">
        <v>6.625</v>
      </c>
      <c r="I50" s="13"/>
      <c r="J50" s="13"/>
      <c r="K50" s="13"/>
      <c r="L50" s="13"/>
      <c r="M50" s="13"/>
      <c r="N50" s="13"/>
      <c r="O50" s="13"/>
      <c r="P50" s="13"/>
      <c r="Q50" s="13">
        <f>IF(COUNTA(E50:P50)=0,"",SUM(E50:P50))</f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>
        <f>IF(COUNTA(R50:AC50)=0,"",SUM(R50:AC50))</f>
      </c>
      <c r="AE50" s="4"/>
    </row>
    <row r="51">
      <c r="A51" s="11"/>
      <c r="B51" s="11"/>
      <c r="C51" s="11"/>
      <c r="D51" t="inlineStr" s="4">
        <is>
          <t>N-1預估</t>
        </is>
      </c>
      <c r="E51" s="7">
        <f>IF($A48="","",SUMIFS(Forecast_History!$F:$F,Forecast_History!$A:$A,EDATE(E$5,-1),Forecast_History!$B:$B,$A48,Forecast_History!$E:$E,E$5))</f>
      </c>
      <c r="F51" s="7">
        <f>IF($A48="","",SUMIFS(Forecast_History!$F:$F,Forecast_History!$A:$A,EDATE(F$5,-1),Forecast_History!$B:$B,$A48,Forecast_History!$E:$E,F$5))</f>
      </c>
      <c r="G51" s="7">
        <f>IF($A48="","",SUMIFS(Forecast_History!$F:$F,Forecast_History!$A:$A,EDATE(G$5,-1),Forecast_History!$B:$B,$A48,Forecast_History!$E:$E,G$5))</f>
      </c>
      <c r="H51" s="7">
        <f>IF($A48="","",SUMIFS(Forecast_History!$F:$F,Forecast_History!$A:$A,EDATE(H$5,-1),Forecast_History!$B:$B,$A48,Forecast_History!$E:$E,H$5))</f>
      </c>
      <c r="I51" s="7">
        <f>IF($A48="","",SUMIFS(Forecast_History!$F:$F,Forecast_History!$A:$A,EDATE(I$5,-1),Forecast_History!$B:$B,$A48,Forecast_History!$E:$E,I$5))</f>
      </c>
      <c r="J51" s="7">
        <f>IF($A48="","",SUMIFS(Forecast_History!$F:$F,Forecast_History!$A:$A,EDATE(J$5,-1),Forecast_History!$B:$B,$A48,Forecast_History!$E:$E,J$5))</f>
      </c>
      <c r="K51" s="7">
        <f>IF($A48="","",SUMIFS(Forecast_History!$F:$F,Forecast_History!$A:$A,EDATE(K$5,-1),Forecast_History!$B:$B,$A48,Forecast_History!$E:$E,K$5))</f>
      </c>
      <c r="L51" s="7">
        <f>IF($A48="","",SUMIFS(Forecast_History!$F:$F,Forecast_History!$A:$A,EDATE(L$5,-1),Forecast_History!$B:$B,$A48,Forecast_History!$E:$E,L$5))</f>
      </c>
      <c r="M51" s="7">
        <f>IF($A48="","",SUMIFS(Forecast_History!$F:$F,Forecast_History!$A:$A,EDATE(M$5,-1),Forecast_History!$B:$B,$A48,Forecast_History!$E:$E,M$5))</f>
      </c>
      <c r="N51" s="7">
        <f>IF($A48="","",SUMIFS(Forecast_History!$F:$F,Forecast_History!$A:$A,EDATE(N$5,-1),Forecast_History!$B:$B,$A48,Forecast_History!$E:$E,N$5))</f>
      </c>
      <c r="O51" s="7">
        <f>IF($A48="","",SUMIFS(Forecast_History!$F:$F,Forecast_History!$A:$A,EDATE(O$5,-1),Forecast_History!$B:$B,$A48,Forecast_History!$E:$E,O$5))</f>
      </c>
      <c r="P51" s="7">
        <f>IF($A48="","",SUMIFS(Forecast_History!$F:$F,Forecast_History!$A:$A,EDATE(P$5,-1),Forecast_History!$B:$B,$A48,Forecast_History!$E:$E,P$5))</f>
      </c>
      <c r="Q51" s="7">
        <f>IF(COUNTA(E51:P51)=0,"",SUM(E51:P51))</f>
      </c>
      <c r="R51" s="7">
        <f>IF($A48="","",SUMIFS(Forecast_History!$F:$F,Forecast_History!$A:$A,EDATE(R$5,-1),Forecast_History!$B:$B,$A48,Forecast_History!$E:$E,R$5))</f>
      </c>
      <c r="S51" s="7">
        <f>IF($A48="","",SUMIFS(Forecast_History!$F:$F,Forecast_History!$A:$A,EDATE(S$5,-1),Forecast_History!$B:$B,$A48,Forecast_History!$E:$E,S$5))</f>
      </c>
      <c r="T51" s="7">
        <f>IF($A48="","",SUMIFS(Forecast_History!$F:$F,Forecast_History!$A:$A,EDATE(T$5,-1),Forecast_History!$B:$B,$A48,Forecast_History!$E:$E,T$5))</f>
      </c>
      <c r="U51" s="7">
        <f>IF($A48="","",SUMIFS(Forecast_History!$F:$F,Forecast_History!$A:$A,EDATE(U$5,-1),Forecast_History!$B:$B,$A48,Forecast_History!$E:$E,U$5))</f>
      </c>
      <c r="V51" s="7">
        <f>IF($A48="","",SUMIFS(Forecast_History!$F:$F,Forecast_History!$A:$A,EDATE(V$5,-1),Forecast_History!$B:$B,$A48,Forecast_History!$E:$E,V$5))</f>
      </c>
      <c r="W51" s="7">
        <f>IF($A48="","",SUMIFS(Forecast_History!$F:$F,Forecast_History!$A:$A,EDATE(W$5,-1),Forecast_History!$B:$B,$A48,Forecast_History!$E:$E,W$5))</f>
      </c>
      <c r="X51" s="7">
        <f>IF($A48="","",SUMIFS(Forecast_History!$F:$F,Forecast_History!$A:$A,EDATE(X$5,-1),Forecast_History!$B:$B,$A48,Forecast_History!$E:$E,X$5))</f>
      </c>
      <c r="Y51" s="7">
        <f>IF($A48="","",SUMIFS(Forecast_History!$F:$F,Forecast_History!$A:$A,EDATE(Y$5,-1),Forecast_History!$B:$B,$A48,Forecast_History!$E:$E,Y$5))</f>
      </c>
      <c r="Z51" s="7">
        <f>IF($A48="","",SUMIFS(Forecast_History!$F:$F,Forecast_History!$A:$A,EDATE(Z$5,-1),Forecast_History!$B:$B,$A48,Forecast_History!$E:$E,Z$5))</f>
      </c>
      <c r="AA51" s="7">
        <f>IF($A48="","",SUMIFS(Forecast_History!$F:$F,Forecast_History!$A:$A,EDATE(AA$5,-1),Forecast_History!$B:$B,$A48,Forecast_History!$E:$E,AA$5))</f>
      </c>
      <c r="AB51" s="7">
        <f>IF($A48="","",SUMIFS(Forecast_History!$F:$F,Forecast_History!$A:$A,EDATE(AB$5,-1),Forecast_History!$B:$B,$A48,Forecast_History!$E:$E,AB$5))</f>
      </c>
      <c r="AC51" s="7">
        <f>IF($A48="","",SUMIFS(Forecast_History!$F:$F,Forecast_History!$A:$A,EDATE(AC$5,-1),Forecast_History!$B:$B,$A48,Forecast_History!$E:$E,AC$5))</f>
      </c>
      <c r="AD51" s="7">
        <f>IF(COUNTA(R51:AC51)=0,"",SUM(R51:AC51))</f>
      </c>
      <c r="AE51" s="4"/>
    </row>
    <row r="52">
      <c r="A52" s="11"/>
      <c r="B52" s="11"/>
      <c r="C52" s="11"/>
      <c r="D52" t="inlineStr" s="12">
        <is>
          <t>當月出貨預測</t>
        </is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>
        <f>IF(COUNTA(E52:P52)=0,"",SUM(E52:P52))</f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>
        <f>IF(COUNTA(R52:AC52)=0,"",SUM(R52:AC52))</f>
      </c>
      <c r="AE52" s="4"/>
    </row>
    <row r="53">
      <c r="A53" s="11"/>
      <c r="B53" s="11"/>
      <c r="C53" s="11"/>
      <c r="D53" t="inlineStr" s="7">
        <is>
          <t>目標達成率</t>
        </is>
      </c>
      <c r="E53" s="10">
        <f>IFERROR(E49/E48,"")</f>
      </c>
      <c r="F53" s="10">
        <f>IFERROR(F49/F48,"")</f>
      </c>
      <c r="G53" s="10">
        <f>IFERROR(G49/G48,"")</f>
      </c>
      <c r="H53" s="10">
        <f>IFERROR(H49/H48,"")</f>
      </c>
      <c r="I53" s="10">
        <f>IFERROR(I49/I48,"")</f>
      </c>
      <c r="J53" s="10">
        <f>IFERROR(J49/J48,"")</f>
      </c>
      <c r="K53" s="10">
        <f>IFERROR(K49/K48,"")</f>
      </c>
      <c r="L53" s="10">
        <f>IFERROR(L49/L48,"")</f>
      </c>
      <c r="M53" s="10">
        <f>IFERROR(M49/M48,"")</f>
      </c>
      <c r="N53" s="10">
        <f>IFERROR(N49/N48,"")</f>
      </c>
      <c r="O53" s="10">
        <f>IFERROR(O49/O48,"")</f>
      </c>
      <c r="P53" s="10">
        <f>IFERROR(P49/P48,"")</f>
      </c>
      <c r="Q53" s="7"/>
      <c r="R53" s="10">
        <f>IFERROR(R49/R48,"")</f>
      </c>
      <c r="S53" s="10">
        <f>IFERROR(S49/S48,"")</f>
      </c>
      <c r="T53" s="10">
        <f>IFERROR(T49/T48,"")</f>
      </c>
      <c r="U53" s="10">
        <f>IFERROR(U49/U48,"")</f>
      </c>
      <c r="V53" s="10">
        <f>IFERROR(V49/V48,"")</f>
      </c>
      <c r="W53" s="10">
        <f>IFERROR(W49/W48,"")</f>
      </c>
      <c r="X53" s="10">
        <f>IFERROR(X49/X48,"")</f>
      </c>
      <c r="Y53" s="10">
        <f>IFERROR(Y49/Y48,"")</f>
      </c>
      <c r="Z53" s="10">
        <f>IFERROR(Z49/Z48,"")</f>
      </c>
      <c r="AA53" s="10">
        <f>IFERROR(AA49/AA48,"")</f>
      </c>
      <c r="AB53" s="10">
        <f>IFERROR(AB49/AB48,"")</f>
      </c>
      <c r="AC53" s="10">
        <f>IFERROR(AC49/AC48,"")</f>
      </c>
      <c r="AD53" s="7"/>
      <c r="AE53" s="4"/>
    </row>
    <row r="54">
      <c r="A54" s="11"/>
      <c r="B54" s="11"/>
      <c r="C54" s="11"/>
      <c r="D54" t="inlineStr" s="7">
        <is>
          <t>預估準確率</t>
        </is>
      </c>
      <c r="E54" s="10">
        <f>IFERROR(E49/E52,"")</f>
      </c>
      <c r="F54" s="10">
        <f>IFERROR(F49/F52,"")</f>
      </c>
      <c r="G54" s="10">
        <f>IFERROR(G49/G52,"")</f>
      </c>
      <c r="H54" s="10">
        <f>IFERROR(H49/H52,"")</f>
      </c>
      <c r="I54" s="10">
        <f>IFERROR(I49/I52,"")</f>
      </c>
      <c r="J54" s="10">
        <f>IFERROR(J49/J52,"")</f>
      </c>
      <c r="K54" s="10">
        <f>IFERROR(K49/K52,"")</f>
      </c>
      <c r="L54" s="10">
        <f>IFERROR(L49/L52,"")</f>
      </c>
      <c r="M54" s="10">
        <f>IFERROR(M49/M52,"")</f>
      </c>
      <c r="N54" s="10">
        <f>IFERROR(N49/N52,"")</f>
      </c>
      <c r="O54" s="10">
        <f>IFERROR(O49/O52,"")</f>
      </c>
      <c r="P54" s="10">
        <f>IFERROR(P49/P52,"")</f>
      </c>
      <c r="Q54" s="7"/>
      <c r="R54" s="10">
        <f>IFERROR(R49/R52,"")</f>
      </c>
      <c r="S54" s="10">
        <f>IFERROR(S49/S52,"")</f>
      </c>
      <c r="T54" s="10">
        <f>IFERROR(T49/T52,"")</f>
      </c>
      <c r="U54" s="10">
        <f>IFERROR(U49/U52,"")</f>
      </c>
      <c r="V54" s="10">
        <f>IFERROR(V49/V52,"")</f>
      </c>
      <c r="W54" s="10">
        <f>IFERROR(W49/W52,"")</f>
      </c>
      <c r="X54" s="10">
        <f>IFERROR(X49/X52,"")</f>
      </c>
      <c r="Y54" s="10">
        <f>IFERROR(Y49/Y52,"")</f>
      </c>
      <c r="Z54" s="10">
        <f>IFERROR(Z49/Z52,"")</f>
      </c>
      <c r="AA54" s="10">
        <f>IFERROR(AA49/AA52,"")</f>
      </c>
      <c r="AB54" s="10">
        <f>IFERROR(AB49/AB52,"")</f>
      </c>
      <c r="AC54" s="10">
        <f>IFERROR(AC49/AC52,"")</f>
      </c>
      <c r="AD54" s="7"/>
      <c r="AE54" s="4"/>
    </row>
    <row r="55">
      <c r="A55" t="inlineStr" s="11">
        <is>
          <t>8697343550013</t>
        </is>
      </c>
      <c r="B55" t="inlineStr" s="11">
        <is>
          <t>FEAST IQF GREEN PEAS</t>
        </is>
      </c>
      <c r="C55" t="inlineStr" s="11">
        <is>
          <t>急速冷凍豌豆</t>
        </is>
      </c>
      <c r="D55" t="inlineStr" s="4">
        <is>
          <t>目標</t>
        </is>
      </c>
      <c r="E55" s="5"/>
      <c r="F55" s="5"/>
      <c r="G55" s="5"/>
      <c r="H55" s="5">
        <v>29.5</v>
      </c>
      <c r="I55" s="5">
        <v>22.881355932203387</v>
      </c>
      <c r="J55" s="5">
        <v>22.881355932203387</v>
      </c>
      <c r="K55" s="5">
        <v>22.881355932203387</v>
      </c>
      <c r="L55" s="5">
        <v>25.16949152542374</v>
      </c>
      <c r="M55" s="5">
        <v>21.737288135593225</v>
      </c>
      <c r="N55" s="5">
        <v>25.16949152542374</v>
      </c>
      <c r="O55" s="5">
        <v>21.737288135593225</v>
      </c>
      <c r="P55" s="5">
        <v>25.16949152542374</v>
      </c>
      <c r="Q55" s="7">
        <f>IF(COUNTA(E55:P55)=0,"",SUM(E55:P55))</f>
      </c>
      <c r="R55" s="5">
        <v>22.881355932203387</v>
      </c>
      <c r="S55" s="5">
        <v>22.881355932203387</v>
      </c>
      <c r="T55" s="5">
        <v>22.881355932203387</v>
      </c>
      <c r="U55" s="5"/>
      <c r="V55" s="5"/>
      <c r="W55" s="5"/>
      <c r="X55" s="5"/>
      <c r="Y55" s="5"/>
      <c r="Z55" s="5"/>
      <c r="AA55" s="5"/>
      <c r="AB55" s="5"/>
      <c r="AC55" s="5"/>
      <c r="AD55" s="7">
        <f>IF(COUNTA(R55:AC55)=0,"",SUM(R55:AC55))</f>
      </c>
      <c r="AE55" s="4"/>
    </row>
    <row r="56">
      <c r="A56" s="11"/>
      <c r="B56" s="11"/>
      <c r="C56" s="11"/>
      <c r="D56" t="inlineStr" s="4">
        <is>
          <t>當月實際出貨</t>
        </is>
      </c>
      <c r="E56" s="5"/>
      <c r="F56" s="5"/>
      <c r="G56" s="5"/>
      <c r="H56" s="5">
        <v>5.9</v>
      </c>
      <c r="I56" s="5">
        <v>4.576271186440677</v>
      </c>
      <c r="J56" s="5"/>
      <c r="K56" s="5"/>
      <c r="L56" s="5"/>
      <c r="M56" s="5"/>
      <c r="N56" s="5"/>
      <c r="O56" s="5"/>
      <c r="P56" s="5"/>
      <c r="Q56" s="7">
        <f>IF(COUNTA(E56:P56)=0,"",SUM(E56:P56))</f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7">
        <f>IF(COUNTA(R56:AC56)=0,"",SUM(R56:AC56))</f>
      </c>
      <c r="AE56" s="4"/>
    </row>
    <row r="57">
      <c r="A57" s="11"/>
      <c r="B57" s="11"/>
      <c r="C57" s="11"/>
      <c r="D57" t="inlineStr" s="12">
        <is>
          <t>實銷</t>
        </is>
      </c>
      <c r="E57" s="13"/>
      <c r="F57" s="13">
        <v>4.55</v>
      </c>
      <c r="G57" s="13">
        <v>4.45</v>
      </c>
      <c r="H57" s="13">
        <v>5.9</v>
      </c>
      <c r="I57" s="13"/>
      <c r="J57" s="13"/>
      <c r="K57" s="13"/>
      <c r="L57" s="13"/>
      <c r="M57" s="13"/>
      <c r="N57" s="13"/>
      <c r="O57" s="13"/>
      <c r="P57" s="13"/>
      <c r="Q57" s="13">
        <f>IF(COUNTA(E57:P57)=0,"",SUM(E57:P57))</f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>
        <f>IF(COUNTA(R57:AC57)=0,"",SUM(R57:AC57))</f>
      </c>
      <c r="AE57" s="4"/>
    </row>
    <row r="58">
      <c r="A58" s="11"/>
      <c r="B58" s="11"/>
      <c r="C58" s="11"/>
      <c r="D58" t="inlineStr" s="4">
        <is>
          <t>N-1預估</t>
        </is>
      </c>
      <c r="E58" s="7">
        <f>IF($A55="","",SUMIFS(Forecast_History!$F:$F,Forecast_History!$A:$A,EDATE(E$5,-1),Forecast_History!$B:$B,$A55,Forecast_History!$E:$E,E$5))</f>
      </c>
      <c r="F58" s="7">
        <f>IF($A55="","",SUMIFS(Forecast_History!$F:$F,Forecast_History!$A:$A,EDATE(F$5,-1),Forecast_History!$B:$B,$A55,Forecast_History!$E:$E,F$5))</f>
      </c>
      <c r="G58" s="7">
        <f>IF($A55="","",SUMIFS(Forecast_History!$F:$F,Forecast_History!$A:$A,EDATE(G$5,-1),Forecast_History!$B:$B,$A55,Forecast_History!$E:$E,G$5))</f>
      </c>
      <c r="H58" s="7">
        <f>IF($A55="","",SUMIFS(Forecast_History!$F:$F,Forecast_History!$A:$A,EDATE(H$5,-1),Forecast_History!$B:$B,$A55,Forecast_History!$E:$E,H$5))</f>
      </c>
      <c r="I58" s="7">
        <f>IF($A55="","",SUMIFS(Forecast_History!$F:$F,Forecast_History!$A:$A,EDATE(I$5,-1),Forecast_History!$B:$B,$A55,Forecast_History!$E:$E,I$5))</f>
      </c>
      <c r="J58" s="7">
        <f>IF($A55="","",SUMIFS(Forecast_History!$F:$F,Forecast_History!$A:$A,EDATE(J$5,-1),Forecast_History!$B:$B,$A55,Forecast_History!$E:$E,J$5))</f>
      </c>
      <c r="K58" s="7">
        <f>IF($A55="","",SUMIFS(Forecast_History!$F:$F,Forecast_History!$A:$A,EDATE(K$5,-1),Forecast_History!$B:$B,$A55,Forecast_History!$E:$E,K$5))</f>
      </c>
      <c r="L58" s="7">
        <f>IF($A55="","",SUMIFS(Forecast_History!$F:$F,Forecast_History!$A:$A,EDATE(L$5,-1),Forecast_History!$B:$B,$A55,Forecast_History!$E:$E,L$5))</f>
      </c>
      <c r="M58" s="7">
        <f>IF($A55="","",SUMIFS(Forecast_History!$F:$F,Forecast_History!$A:$A,EDATE(M$5,-1),Forecast_History!$B:$B,$A55,Forecast_History!$E:$E,M$5))</f>
      </c>
      <c r="N58" s="7">
        <f>IF($A55="","",SUMIFS(Forecast_History!$F:$F,Forecast_History!$A:$A,EDATE(N$5,-1),Forecast_History!$B:$B,$A55,Forecast_History!$E:$E,N$5))</f>
      </c>
      <c r="O58" s="7">
        <f>IF($A55="","",SUMIFS(Forecast_History!$F:$F,Forecast_History!$A:$A,EDATE(O$5,-1),Forecast_History!$B:$B,$A55,Forecast_History!$E:$E,O$5))</f>
      </c>
      <c r="P58" s="7">
        <f>IF($A55="","",SUMIFS(Forecast_History!$F:$F,Forecast_History!$A:$A,EDATE(P$5,-1),Forecast_History!$B:$B,$A55,Forecast_History!$E:$E,P$5))</f>
      </c>
      <c r="Q58" s="7">
        <f>IF(COUNTA(E58:P58)=0,"",SUM(E58:P58))</f>
      </c>
      <c r="R58" s="7">
        <f>IF($A55="","",SUMIFS(Forecast_History!$F:$F,Forecast_History!$A:$A,EDATE(R$5,-1),Forecast_History!$B:$B,$A55,Forecast_History!$E:$E,R$5))</f>
      </c>
      <c r="S58" s="7">
        <f>IF($A55="","",SUMIFS(Forecast_History!$F:$F,Forecast_History!$A:$A,EDATE(S$5,-1),Forecast_History!$B:$B,$A55,Forecast_History!$E:$E,S$5))</f>
      </c>
      <c r="T58" s="7">
        <f>IF($A55="","",SUMIFS(Forecast_History!$F:$F,Forecast_History!$A:$A,EDATE(T$5,-1),Forecast_History!$B:$B,$A55,Forecast_History!$E:$E,T$5))</f>
      </c>
      <c r="U58" s="7">
        <f>IF($A55="","",SUMIFS(Forecast_History!$F:$F,Forecast_History!$A:$A,EDATE(U$5,-1),Forecast_History!$B:$B,$A55,Forecast_History!$E:$E,U$5))</f>
      </c>
      <c r="V58" s="7">
        <f>IF($A55="","",SUMIFS(Forecast_History!$F:$F,Forecast_History!$A:$A,EDATE(V$5,-1),Forecast_History!$B:$B,$A55,Forecast_History!$E:$E,V$5))</f>
      </c>
      <c r="W58" s="7">
        <f>IF($A55="","",SUMIFS(Forecast_History!$F:$F,Forecast_History!$A:$A,EDATE(W$5,-1),Forecast_History!$B:$B,$A55,Forecast_History!$E:$E,W$5))</f>
      </c>
      <c r="X58" s="7">
        <f>IF($A55="","",SUMIFS(Forecast_History!$F:$F,Forecast_History!$A:$A,EDATE(X$5,-1),Forecast_History!$B:$B,$A55,Forecast_History!$E:$E,X$5))</f>
      </c>
      <c r="Y58" s="7">
        <f>IF($A55="","",SUMIFS(Forecast_History!$F:$F,Forecast_History!$A:$A,EDATE(Y$5,-1),Forecast_History!$B:$B,$A55,Forecast_History!$E:$E,Y$5))</f>
      </c>
      <c r="Z58" s="7">
        <f>IF($A55="","",SUMIFS(Forecast_History!$F:$F,Forecast_History!$A:$A,EDATE(Z$5,-1),Forecast_History!$B:$B,$A55,Forecast_History!$E:$E,Z$5))</f>
      </c>
      <c r="AA58" s="7">
        <f>IF($A55="","",SUMIFS(Forecast_History!$F:$F,Forecast_History!$A:$A,EDATE(AA$5,-1),Forecast_History!$B:$B,$A55,Forecast_History!$E:$E,AA$5))</f>
      </c>
      <c r="AB58" s="7">
        <f>IF($A55="","",SUMIFS(Forecast_History!$F:$F,Forecast_History!$A:$A,EDATE(AB$5,-1),Forecast_History!$B:$B,$A55,Forecast_History!$E:$E,AB$5))</f>
      </c>
      <c r="AC58" s="7">
        <f>IF($A55="","",SUMIFS(Forecast_History!$F:$F,Forecast_History!$A:$A,EDATE(AC$5,-1),Forecast_History!$B:$B,$A55,Forecast_History!$E:$E,AC$5))</f>
      </c>
      <c r="AD58" s="7">
        <f>IF(COUNTA(R58:AC58)=0,"",SUM(R58:AC58))</f>
      </c>
      <c r="AE58" s="4"/>
    </row>
    <row r="59">
      <c r="A59" s="11"/>
      <c r="B59" s="11"/>
      <c r="C59" s="11"/>
      <c r="D59" t="inlineStr" s="12">
        <is>
          <t>當月出貨預測</t>
        </is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>
        <f>IF(COUNTA(E59:P59)=0,"",SUM(E59:P59))</f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>
        <f>IF(COUNTA(R59:AC59)=0,"",SUM(R59:AC59))</f>
      </c>
      <c r="AE59" s="4"/>
    </row>
    <row r="60">
      <c r="A60" s="11"/>
      <c r="B60" s="11"/>
      <c r="C60" s="11"/>
      <c r="D60" t="inlineStr" s="7">
        <is>
          <t>目標達成率</t>
        </is>
      </c>
      <c r="E60" s="10">
        <f>IFERROR(E56/E55,"")</f>
      </c>
      <c r="F60" s="10">
        <f>IFERROR(F56/F55,"")</f>
      </c>
      <c r="G60" s="10">
        <f>IFERROR(G56/G55,"")</f>
      </c>
      <c r="H60" s="10">
        <f>IFERROR(H56/H55,"")</f>
      </c>
      <c r="I60" s="10">
        <f>IFERROR(I56/I55,"")</f>
      </c>
      <c r="J60" s="10">
        <f>IFERROR(J56/J55,"")</f>
      </c>
      <c r="K60" s="10">
        <f>IFERROR(K56/K55,"")</f>
      </c>
      <c r="L60" s="10">
        <f>IFERROR(L56/L55,"")</f>
      </c>
      <c r="M60" s="10">
        <f>IFERROR(M56/M55,"")</f>
      </c>
      <c r="N60" s="10">
        <f>IFERROR(N56/N55,"")</f>
      </c>
      <c r="O60" s="10">
        <f>IFERROR(O56/O55,"")</f>
      </c>
      <c r="P60" s="10">
        <f>IFERROR(P56/P55,"")</f>
      </c>
      <c r="Q60" s="7"/>
      <c r="R60" s="10">
        <f>IFERROR(R56/R55,"")</f>
      </c>
      <c r="S60" s="10">
        <f>IFERROR(S56/S55,"")</f>
      </c>
      <c r="T60" s="10">
        <f>IFERROR(T56/T55,"")</f>
      </c>
      <c r="U60" s="10">
        <f>IFERROR(U56/U55,"")</f>
      </c>
      <c r="V60" s="10">
        <f>IFERROR(V56/V55,"")</f>
      </c>
      <c r="W60" s="10">
        <f>IFERROR(W56/W55,"")</f>
      </c>
      <c r="X60" s="10">
        <f>IFERROR(X56/X55,"")</f>
      </c>
      <c r="Y60" s="10">
        <f>IFERROR(Y56/Y55,"")</f>
      </c>
      <c r="Z60" s="10">
        <f>IFERROR(Z56/Z55,"")</f>
      </c>
      <c r="AA60" s="10">
        <f>IFERROR(AA56/AA55,"")</f>
      </c>
      <c r="AB60" s="10">
        <f>IFERROR(AB56/AB55,"")</f>
      </c>
      <c r="AC60" s="10">
        <f>IFERROR(AC56/AC55,"")</f>
      </c>
      <c r="AD60" s="7"/>
      <c r="AE60" s="4"/>
    </row>
    <row r="61">
      <c r="A61" s="11"/>
      <c r="B61" s="11"/>
      <c r="C61" s="11"/>
      <c r="D61" t="inlineStr" s="7">
        <is>
          <t>預估準確率</t>
        </is>
      </c>
      <c r="E61" s="10">
        <f>IFERROR(E56/E59,"")</f>
      </c>
      <c r="F61" s="10">
        <f>IFERROR(F56/F59,"")</f>
      </c>
      <c r="G61" s="10">
        <f>IFERROR(G56/G59,"")</f>
      </c>
      <c r="H61" s="10">
        <f>IFERROR(H56/H59,"")</f>
      </c>
      <c r="I61" s="10">
        <f>IFERROR(I56/I59,"")</f>
      </c>
      <c r="J61" s="10">
        <f>IFERROR(J56/J59,"")</f>
      </c>
      <c r="K61" s="10">
        <f>IFERROR(K56/K59,"")</f>
      </c>
      <c r="L61" s="10">
        <f>IFERROR(L56/L59,"")</f>
      </c>
      <c r="M61" s="10">
        <f>IFERROR(M56/M59,"")</f>
      </c>
      <c r="N61" s="10">
        <f>IFERROR(N56/N59,"")</f>
      </c>
      <c r="O61" s="10">
        <f>IFERROR(O56/O59,"")</f>
      </c>
      <c r="P61" s="10">
        <f>IFERROR(P56/P59,"")</f>
      </c>
      <c r="Q61" s="7"/>
      <c r="R61" s="10">
        <f>IFERROR(R56/R59,"")</f>
      </c>
      <c r="S61" s="10">
        <f>IFERROR(S56/S59,"")</f>
      </c>
      <c r="T61" s="10">
        <f>IFERROR(T56/T59,"")</f>
      </c>
      <c r="U61" s="10">
        <f>IFERROR(U56/U59,"")</f>
      </c>
      <c r="V61" s="10">
        <f>IFERROR(V56/V59,"")</f>
      </c>
      <c r="W61" s="10">
        <f>IFERROR(W56/W59,"")</f>
      </c>
      <c r="X61" s="10">
        <f>IFERROR(X56/X59,"")</f>
      </c>
      <c r="Y61" s="10">
        <f>IFERROR(Y56/Y59,"")</f>
      </c>
      <c r="Z61" s="10">
        <f>IFERROR(Z56/Z59,"")</f>
      </c>
      <c r="AA61" s="10">
        <f>IFERROR(AA56/AA59,"")</f>
      </c>
      <c r="AB61" s="10">
        <f>IFERROR(AB56/AB59,"")</f>
      </c>
      <c r="AC61" s="10">
        <f>IFERROR(AC56/AC59,"")</f>
      </c>
      <c r="AD61" s="7"/>
      <c r="AE61" s="4"/>
    </row>
    <row r="62">
      <c r="A62" s="11"/>
      <c r="B62" t="inlineStr" s="11">
        <is>
          <t>FEAST IQF SPINACH 12*450 GR</t>
        </is>
      </c>
      <c r="C62" t="inlineStr" s="11">
        <is>
          <t>急速冷凍菠菜</t>
        </is>
      </c>
      <c r="D62" t="inlineStr" s="4">
        <is>
          <t>目標</t>
        </is>
      </c>
      <c r="E62" s="5"/>
      <c r="F62" s="5"/>
      <c r="G62" s="5"/>
      <c r="H62" s="5"/>
      <c r="I62" s="5"/>
      <c r="J62" s="5"/>
      <c r="K62" s="5"/>
      <c r="L62" s="5"/>
      <c r="M62" s="5"/>
      <c r="N62" s="5">
        <v>60</v>
      </c>
      <c r="O62" s="5">
        <v>60</v>
      </c>
      <c r="P62" s="5">
        <v>60</v>
      </c>
      <c r="Q62" s="7">
        <f>IF(COUNTA(E62:P62)=0,"",SUM(E62:P62))</f>
      </c>
      <c r="R62" s="5">
        <v>60</v>
      </c>
      <c r="S62" s="5">
        <v>60</v>
      </c>
      <c r="T62" s="5">
        <v>60</v>
      </c>
      <c r="U62" s="5"/>
      <c r="V62" s="5"/>
      <c r="W62" s="5"/>
      <c r="X62" s="5"/>
      <c r="Y62" s="5"/>
      <c r="Z62" s="5"/>
      <c r="AA62" s="5"/>
      <c r="AB62" s="5"/>
      <c r="AC62" s="5"/>
      <c r="AD62" s="7">
        <f>IF(COUNTA(R62:AC62)=0,"",SUM(R62:AC62))</f>
      </c>
      <c r="AE62" s="4"/>
    </row>
    <row r="63">
      <c r="A63" s="11"/>
      <c r="B63" s="11"/>
      <c r="C63" s="11"/>
      <c r="D63" t="inlineStr" s="4">
        <is>
          <t>當月實際出貨</t>
        </is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7">
        <f>IF(COUNTA(E63:P63)=0,"",SUM(E63:P63))</f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7">
        <f>IF(COUNTA(R63:AC63)=0,"",SUM(R63:AC63))</f>
      </c>
      <c r="AE63" s="4"/>
    </row>
    <row r="64">
      <c r="A64" s="11"/>
      <c r="B64" s="11"/>
      <c r="C64" s="11"/>
      <c r="D64" t="inlineStr" s="12">
        <is>
          <t>實銷</t>
        </is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>
        <f>IF(COUNTA(E64:P64)=0,"",SUM(E64:P64))</f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>
        <f>IF(COUNTA(R64:AC64)=0,"",SUM(R64:AC64))</f>
      </c>
      <c r="AE64" s="4"/>
    </row>
    <row r="65">
      <c r="A65" s="11"/>
      <c r="B65" s="11"/>
      <c r="C65" s="11"/>
      <c r="D65" t="inlineStr" s="4">
        <is>
          <t>N-1預估</t>
        </is>
      </c>
      <c r="E65" s="7">
        <f>IF($A62="","",SUMIFS(Forecast_History!$F:$F,Forecast_History!$A:$A,EDATE(E$5,-1),Forecast_History!$B:$B,$A62,Forecast_History!$E:$E,E$5))</f>
      </c>
      <c r="F65" s="7">
        <f>IF($A62="","",SUMIFS(Forecast_History!$F:$F,Forecast_History!$A:$A,EDATE(F$5,-1),Forecast_History!$B:$B,$A62,Forecast_History!$E:$E,F$5))</f>
      </c>
      <c r="G65" s="7">
        <f>IF($A62="","",SUMIFS(Forecast_History!$F:$F,Forecast_History!$A:$A,EDATE(G$5,-1),Forecast_History!$B:$B,$A62,Forecast_History!$E:$E,G$5))</f>
      </c>
      <c r="H65" s="7">
        <f>IF($A62="","",SUMIFS(Forecast_History!$F:$F,Forecast_History!$A:$A,EDATE(H$5,-1),Forecast_History!$B:$B,$A62,Forecast_History!$E:$E,H$5))</f>
      </c>
      <c r="I65" s="7">
        <f>IF($A62="","",SUMIFS(Forecast_History!$F:$F,Forecast_History!$A:$A,EDATE(I$5,-1),Forecast_History!$B:$B,$A62,Forecast_History!$E:$E,I$5))</f>
      </c>
      <c r="J65" s="7">
        <f>IF($A62="","",SUMIFS(Forecast_History!$F:$F,Forecast_History!$A:$A,EDATE(J$5,-1),Forecast_History!$B:$B,$A62,Forecast_History!$E:$E,J$5))</f>
      </c>
      <c r="K65" s="7">
        <f>IF($A62="","",SUMIFS(Forecast_History!$F:$F,Forecast_History!$A:$A,EDATE(K$5,-1),Forecast_History!$B:$B,$A62,Forecast_History!$E:$E,K$5))</f>
      </c>
      <c r="L65" s="7">
        <f>IF($A62="","",SUMIFS(Forecast_History!$F:$F,Forecast_History!$A:$A,EDATE(L$5,-1),Forecast_History!$B:$B,$A62,Forecast_History!$E:$E,L$5))</f>
      </c>
      <c r="M65" s="7">
        <f>IF($A62="","",SUMIFS(Forecast_History!$F:$F,Forecast_History!$A:$A,EDATE(M$5,-1),Forecast_History!$B:$B,$A62,Forecast_History!$E:$E,M$5))</f>
      </c>
      <c r="N65" s="7">
        <f>IF($A62="","",SUMIFS(Forecast_History!$F:$F,Forecast_History!$A:$A,EDATE(N$5,-1),Forecast_History!$B:$B,$A62,Forecast_History!$E:$E,N$5))</f>
      </c>
      <c r="O65" s="7">
        <f>IF($A62="","",SUMIFS(Forecast_History!$F:$F,Forecast_History!$A:$A,EDATE(O$5,-1),Forecast_History!$B:$B,$A62,Forecast_History!$E:$E,O$5))</f>
      </c>
      <c r="P65" s="7">
        <f>IF($A62="","",SUMIFS(Forecast_History!$F:$F,Forecast_History!$A:$A,EDATE(P$5,-1),Forecast_History!$B:$B,$A62,Forecast_History!$E:$E,P$5))</f>
      </c>
      <c r="Q65" s="7">
        <f>IF(COUNTA(E65:P65)=0,"",SUM(E65:P65))</f>
      </c>
      <c r="R65" s="7">
        <f>IF($A62="","",SUMIFS(Forecast_History!$F:$F,Forecast_History!$A:$A,EDATE(R$5,-1),Forecast_History!$B:$B,$A62,Forecast_History!$E:$E,R$5))</f>
      </c>
      <c r="S65" s="7">
        <f>IF($A62="","",SUMIFS(Forecast_History!$F:$F,Forecast_History!$A:$A,EDATE(S$5,-1),Forecast_History!$B:$B,$A62,Forecast_History!$E:$E,S$5))</f>
      </c>
      <c r="T65" s="7">
        <f>IF($A62="","",SUMIFS(Forecast_History!$F:$F,Forecast_History!$A:$A,EDATE(T$5,-1),Forecast_History!$B:$B,$A62,Forecast_History!$E:$E,T$5))</f>
      </c>
      <c r="U65" s="7">
        <f>IF($A62="","",SUMIFS(Forecast_History!$F:$F,Forecast_History!$A:$A,EDATE(U$5,-1),Forecast_History!$B:$B,$A62,Forecast_History!$E:$E,U$5))</f>
      </c>
      <c r="V65" s="7">
        <f>IF($A62="","",SUMIFS(Forecast_History!$F:$F,Forecast_History!$A:$A,EDATE(V$5,-1),Forecast_History!$B:$B,$A62,Forecast_History!$E:$E,V$5))</f>
      </c>
      <c r="W65" s="7">
        <f>IF($A62="","",SUMIFS(Forecast_History!$F:$F,Forecast_History!$A:$A,EDATE(W$5,-1),Forecast_History!$B:$B,$A62,Forecast_History!$E:$E,W$5))</f>
      </c>
      <c r="X65" s="7">
        <f>IF($A62="","",SUMIFS(Forecast_History!$F:$F,Forecast_History!$A:$A,EDATE(X$5,-1),Forecast_History!$B:$B,$A62,Forecast_History!$E:$E,X$5))</f>
      </c>
      <c r="Y65" s="7">
        <f>IF($A62="","",SUMIFS(Forecast_History!$F:$F,Forecast_History!$A:$A,EDATE(Y$5,-1),Forecast_History!$B:$B,$A62,Forecast_History!$E:$E,Y$5))</f>
      </c>
      <c r="Z65" s="7">
        <f>IF($A62="","",SUMIFS(Forecast_History!$F:$F,Forecast_History!$A:$A,EDATE(Z$5,-1),Forecast_History!$B:$B,$A62,Forecast_History!$E:$E,Z$5))</f>
      </c>
      <c r="AA65" s="7">
        <f>IF($A62="","",SUMIFS(Forecast_History!$F:$F,Forecast_History!$A:$A,EDATE(AA$5,-1),Forecast_History!$B:$B,$A62,Forecast_History!$E:$E,AA$5))</f>
      </c>
      <c r="AB65" s="7">
        <f>IF($A62="","",SUMIFS(Forecast_History!$F:$F,Forecast_History!$A:$A,EDATE(AB$5,-1),Forecast_History!$B:$B,$A62,Forecast_History!$E:$E,AB$5))</f>
      </c>
      <c r="AC65" s="7">
        <f>IF($A62="","",SUMIFS(Forecast_History!$F:$F,Forecast_History!$A:$A,EDATE(AC$5,-1),Forecast_History!$B:$B,$A62,Forecast_History!$E:$E,AC$5))</f>
      </c>
      <c r="AD65" s="7">
        <f>IF(COUNTA(R65:AC65)=0,"",SUM(R65:AC65))</f>
      </c>
      <c r="AE65" s="4"/>
    </row>
    <row r="66">
      <c r="A66" s="11"/>
      <c r="B66" s="11"/>
      <c r="C66" s="11"/>
      <c r="D66" t="inlineStr" s="12">
        <is>
          <t>當月出貨預測</t>
        </is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>
        <f>IF(COUNTA(E66:P66)=0,"",SUM(E66:P66))</f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>
        <f>IF(COUNTA(R66:AC66)=0,"",SUM(R66:AC66))</f>
      </c>
      <c r="AE66" s="4"/>
    </row>
    <row r="67">
      <c r="A67" s="11"/>
      <c r="B67" s="11"/>
      <c r="C67" s="11"/>
      <c r="D67" t="inlineStr" s="7">
        <is>
          <t>目標達成率</t>
        </is>
      </c>
      <c r="E67" s="10">
        <f>IFERROR(E63/E62,"")</f>
      </c>
      <c r="F67" s="10">
        <f>IFERROR(F63/F62,"")</f>
      </c>
      <c r="G67" s="10">
        <f>IFERROR(G63/G62,"")</f>
      </c>
      <c r="H67" s="10">
        <f>IFERROR(H63/H62,"")</f>
      </c>
      <c r="I67" s="10">
        <f>IFERROR(I63/I62,"")</f>
      </c>
      <c r="J67" s="10">
        <f>IFERROR(J63/J62,"")</f>
      </c>
      <c r="K67" s="10">
        <f>IFERROR(K63/K62,"")</f>
      </c>
      <c r="L67" s="10">
        <f>IFERROR(L63/L62,"")</f>
      </c>
      <c r="M67" s="10">
        <f>IFERROR(M63/M62,"")</f>
      </c>
      <c r="N67" s="10">
        <f>IFERROR(N63/N62,"")</f>
      </c>
      <c r="O67" s="10">
        <f>IFERROR(O63/O62,"")</f>
      </c>
      <c r="P67" s="10">
        <f>IFERROR(P63/P62,"")</f>
      </c>
      <c r="Q67" s="7"/>
      <c r="R67" s="10">
        <f>IFERROR(R63/R62,"")</f>
      </c>
      <c r="S67" s="10">
        <f>IFERROR(S63/S62,"")</f>
      </c>
      <c r="T67" s="10">
        <f>IFERROR(T63/T62,"")</f>
      </c>
      <c r="U67" s="10">
        <f>IFERROR(U63/U62,"")</f>
      </c>
      <c r="V67" s="10">
        <f>IFERROR(V63/V62,"")</f>
      </c>
      <c r="W67" s="10">
        <f>IFERROR(W63/W62,"")</f>
      </c>
      <c r="X67" s="10">
        <f>IFERROR(X63/X62,"")</f>
      </c>
      <c r="Y67" s="10">
        <f>IFERROR(Y63/Y62,"")</f>
      </c>
      <c r="Z67" s="10">
        <f>IFERROR(Z63/Z62,"")</f>
      </c>
      <c r="AA67" s="10">
        <f>IFERROR(AA63/AA62,"")</f>
      </c>
      <c r="AB67" s="10">
        <f>IFERROR(AB63/AB62,"")</f>
      </c>
      <c r="AC67" s="10">
        <f>IFERROR(AC63/AC62,"")</f>
      </c>
      <c r="AD67" s="7"/>
      <c r="AE67" s="4"/>
    </row>
    <row r="68">
      <c r="A68" s="11"/>
      <c r="B68" s="11"/>
      <c r="C68" s="11"/>
      <c r="D68" t="inlineStr" s="7">
        <is>
          <t>預估準確率</t>
        </is>
      </c>
      <c r="E68" s="10">
        <f>IFERROR(E63/E66,"")</f>
      </c>
      <c r="F68" s="10">
        <f>IFERROR(F63/F66,"")</f>
      </c>
      <c r="G68" s="10">
        <f>IFERROR(G63/G66,"")</f>
      </c>
      <c r="H68" s="10">
        <f>IFERROR(H63/H66,"")</f>
      </c>
      <c r="I68" s="10">
        <f>IFERROR(I63/I66,"")</f>
      </c>
      <c r="J68" s="10">
        <f>IFERROR(J63/J66,"")</f>
      </c>
      <c r="K68" s="10">
        <f>IFERROR(K63/K66,"")</f>
      </c>
      <c r="L68" s="10">
        <f>IFERROR(L63/L66,"")</f>
      </c>
      <c r="M68" s="10">
        <f>IFERROR(M63/M66,"")</f>
      </c>
      <c r="N68" s="10">
        <f>IFERROR(N63/N66,"")</f>
      </c>
      <c r="O68" s="10">
        <f>IFERROR(O63/O66,"")</f>
      </c>
      <c r="P68" s="10">
        <f>IFERROR(P63/P66,"")</f>
      </c>
      <c r="Q68" s="7"/>
      <c r="R68" s="10">
        <f>IFERROR(R63/R66,"")</f>
      </c>
      <c r="S68" s="10">
        <f>IFERROR(S63/S66,"")</f>
      </c>
      <c r="T68" s="10">
        <f>IFERROR(T63/T66,"")</f>
      </c>
      <c r="U68" s="10">
        <f>IFERROR(U63/U66,"")</f>
      </c>
      <c r="V68" s="10">
        <f>IFERROR(V63/V66,"")</f>
      </c>
      <c r="W68" s="10">
        <f>IFERROR(W63/W66,"")</f>
      </c>
      <c r="X68" s="10">
        <f>IFERROR(X63/X66,"")</f>
      </c>
      <c r="Y68" s="10">
        <f>IFERROR(Y63/Y66,"")</f>
      </c>
      <c r="Z68" s="10">
        <f>IFERROR(Z63/Z66,"")</f>
      </c>
      <c r="AA68" s="10">
        <f>IFERROR(AA63/AA66,"")</f>
      </c>
      <c r="AB68" s="10">
        <f>IFERROR(AB63/AB66,"")</f>
      </c>
      <c r="AC68" s="10">
        <f>IFERROR(AC63/AC66,"")</f>
      </c>
      <c r="AD68" s="7"/>
      <c r="AE68" s="4"/>
    </row>
  </sheetData>
  <autoFilter ref="A5:AE68"/>
  <mergeCells count="29">
    <mergeCell ref="A1:AE1"/>
    <mergeCell ref="A2:AE2"/>
    <mergeCell ref="A6:A12"/>
    <mergeCell ref="B6:B12"/>
    <mergeCell ref="C6:C12"/>
    <mergeCell ref="A13:A19"/>
    <mergeCell ref="B13:B19"/>
    <mergeCell ref="C13:C19"/>
    <mergeCell ref="A20:A26"/>
    <mergeCell ref="B20:B26"/>
    <mergeCell ref="C20:C26"/>
    <mergeCell ref="A27:A33"/>
    <mergeCell ref="B27:B33"/>
    <mergeCell ref="C27:C33"/>
    <mergeCell ref="A34:A40"/>
    <mergeCell ref="B34:B40"/>
    <mergeCell ref="C34:C40"/>
    <mergeCell ref="A41:A47"/>
    <mergeCell ref="B41:B47"/>
    <mergeCell ref="C41:C47"/>
    <mergeCell ref="A48:A54"/>
    <mergeCell ref="B48:B54"/>
    <mergeCell ref="C48:C54"/>
    <mergeCell ref="A55:A61"/>
    <mergeCell ref="B55:B61"/>
    <mergeCell ref="C55:C61"/>
    <mergeCell ref="A62:A68"/>
    <mergeCell ref="B62:B68"/>
    <mergeCell ref="C62:C68"/>
  </mergeCells>
  <dataValidations count="1">
    <dataValidation type="decimal" operator="greaterThanOrEqual" allowBlank="1" showErrorMessage="1" sqref="E6:AD68">
      <formula1>0</formula1>
    </dataValidation>
  </dataValidations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4" topLeftCell="A5" activePane="bottomRight" state="frozen"/>
      <selection pane="bottomRight" activeCell="A5" sqref="A5"/>
    </sheetView>
  </sheetViews>
  <cols>
    <col min="1" max="1" width="14" customWidth="1"/>
    <col min="2" max="2" width="17" customWidth="1"/>
    <col min="3" max="3" width="42" customWidth="1"/>
    <col min="4" max="4" width="24" customWidth="1"/>
    <col min="5" max="5" width="14" customWidth="1"/>
    <col min="6" max="6" width="13" customWidth="1"/>
    <col min="7" max="7" width="28" customWidth="1"/>
  </cols>
  <sheetData>
    <row r="1" ht="28" customHeight="1">
      <c r="A1" t="inlineStr" s="1">
        <is>
          <t>Forecast_History 每月預估快照</t>
        </is>
      </c>
    </row>
    <row r="2">
      <c r="A2" t="inlineStr" s="2">
        <is>
          <t>每月結束或開新月份前，把 Forecast 的「當月出貨預測」列轉成長表貼到這裡；下個月主表的 N-1預估會依版本月份、國際條碼、預估月份自動抓取。</t>
        </is>
      </c>
    </row>
    <row r="4">
      <c r="A4" t="inlineStr" s="3">
        <is>
          <t>版本月份</t>
        </is>
      </c>
      <c r="B4" t="inlineStr" s="3">
        <is>
          <t>國際條碼</t>
        </is>
      </c>
      <c r="C4" t="inlineStr" s="3">
        <is>
          <t>產品名稱(EN)</t>
        </is>
      </c>
      <c r="D4" t="inlineStr" s="3">
        <is>
          <t>產品名稱(CN)</t>
        </is>
      </c>
      <c r="E4" t="inlineStr" s="3">
        <is>
          <t>預估月份</t>
        </is>
      </c>
      <c r="F4" t="inlineStr" s="3">
        <is>
          <t>預估箱數</t>
        </is>
      </c>
      <c r="G4" t="inlineStr" s="3">
        <is>
          <t>備註</t>
        </is>
      </c>
    </row>
    <row r="5">
      <c r="A5" s="6"/>
      <c r="B5" s="4"/>
      <c r="C5" s="4"/>
      <c r="D5" s="4"/>
      <c r="E5" s="6"/>
      <c r="F5" s="5"/>
      <c r="G5" s="4"/>
    </row>
    <row r="6">
      <c r="A6" s="6"/>
      <c r="B6" s="4"/>
      <c r="C6" s="4"/>
      <c r="D6" s="4"/>
      <c r="E6" s="6"/>
      <c r="F6" s="5"/>
      <c r="G6" s="4"/>
    </row>
    <row r="7">
      <c r="A7" s="6"/>
      <c r="B7" s="4"/>
      <c r="C7" s="4"/>
      <c r="D7" s="4"/>
      <c r="E7" s="6"/>
      <c r="F7" s="5"/>
      <c r="G7" s="4"/>
    </row>
    <row r="8">
      <c r="A8" s="6"/>
      <c r="B8" s="4"/>
      <c r="C8" s="4"/>
      <c r="D8" s="4"/>
      <c r="E8" s="6"/>
      <c r="F8" s="5"/>
      <c r="G8" s="4"/>
    </row>
    <row r="9">
      <c r="A9" s="6"/>
      <c r="B9" s="4"/>
      <c r="C9" s="4"/>
      <c r="D9" s="4"/>
      <c r="E9" s="6"/>
      <c r="F9" s="5"/>
      <c r="G9" s="4"/>
    </row>
    <row r="10">
      <c r="A10" s="6"/>
      <c r="B10" s="4"/>
      <c r="C10" s="4"/>
      <c r="D10" s="4"/>
      <c r="E10" s="6"/>
      <c r="F10" s="5"/>
      <c r="G10" s="4"/>
    </row>
    <row r="11">
      <c r="A11" s="6"/>
      <c r="B11" s="4"/>
      <c r="C11" s="4"/>
      <c r="D11" s="4"/>
      <c r="E11" s="6"/>
      <c r="F11" s="5"/>
      <c r="G11" s="4"/>
    </row>
    <row r="12">
      <c r="A12" s="6"/>
      <c r="B12" s="4"/>
      <c r="C12" s="4"/>
      <c r="D12" s="4"/>
      <c r="E12" s="6"/>
      <c r="F12" s="5"/>
      <c r="G12" s="4"/>
    </row>
    <row r="13">
      <c r="A13" s="6"/>
      <c r="B13" s="4"/>
      <c r="C13" s="4"/>
      <c r="D13" s="4"/>
      <c r="E13" s="6"/>
      <c r="F13" s="5"/>
      <c r="G13" s="4"/>
    </row>
    <row r="14">
      <c r="A14" s="6"/>
      <c r="B14" s="4"/>
      <c r="C14" s="4"/>
      <c r="D14" s="4"/>
      <c r="E14" s="6"/>
      <c r="F14" s="5"/>
      <c r="G14" s="4"/>
    </row>
    <row r="15">
      <c r="A15" s="6"/>
      <c r="B15" s="4"/>
      <c r="C15" s="4"/>
      <c r="D15" s="4"/>
      <c r="E15" s="6"/>
      <c r="F15" s="5"/>
      <c r="G15" s="4"/>
    </row>
    <row r="16">
      <c r="A16" s="6"/>
      <c r="B16" s="4"/>
      <c r="C16" s="4"/>
      <c r="D16" s="4"/>
      <c r="E16" s="6"/>
      <c r="F16" s="5"/>
      <c r="G16" s="4"/>
    </row>
    <row r="17">
      <c r="A17" s="6"/>
      <c r="B17" s="4"/>
      <c r="C17" s="4"/>
      <c r="D17" s="4"/>
      <c r="E17" s="6"/>
      <c r="F17" s="5"/>
      <c r="G17" s="4"/>
    </row>
    <row r="18">
      <c r="A18" s="6"/>
      <c r="B18" s="4"/>
      <c r="C18" s="4"/>
      <c r="D18" s="4"/>
      <c r="E18" s="6"/>
      <c r="F18" s="5"/>
      <c r="G18" s="4"/>
    </row>
    <row r="19">
      <c r="A19" s="6"/>
      <c r="B19" s="4"/>
      <c r="C19" s="4"/>
      <c r="D19" s="4"/>
      <c r="E19" s="6"/>
      <c r="F19" s="5"/>
      <c r="G19" s="4"/>
    </row>
    <row r="20">
      <c r="A20" s="6"/>
      <c r="B20" s="4"/>
      <c r="C20" s="4"/>
      <c r="D20" s="4"/>
      <c r="E20" s="6"/>
      <c r="F20" s="5"/>
      <c r="G20" s="4"/>
    </row>
    <row r="21">
      <c r="A21" s="6"/>
      <c r="B21" s="4"/>
      <c r="C21" s="4"/>
      <c r="D21" s="4"/>
      <c r="E21" s="6"/>
      <c r="F21" s="5"/>
      <c r="G21" s="4"/>
    </row>
    <row r="22">
      <c r="A22" s="6"/>
      <c r="B22" s="4"/>
      <c r="C22" s="4"/>
      <c r="D22" s="4"/>
      <c r="E22" s="6"/>
      <c r="F22" s="5"/>
      <c r="G22" s="4"/>
    </row>
    <row r="23">
      <c r="A23" s="6"/>
      <c r="B23" s="4"/>
      <c r="C23" s="4"/>
      <c r="D23" s="4"/>
      <c r="E23" s="6"/>
      <c r="F23" s="5"/>
      <c r="G23" s="4"/>
    </row>
    <row r="24">
      <c r="A24" s="6"/>
      <c r="B24" s="4"/>
      <c r="C24" s="4"/>
      <c r="D24" s="4"/>
      <c r="E24" s="6"/>
      <c r="F24" s="5"/>
      <c r="G24" s="4"/>
    </row>
    <row r="25">
      <c r="A25" s="6"/>
      <c r="B25" s="4"/>
      <c r="C25" s="4"/>
      <c r="D25" s="4"/>
      <c r="E25" s="6"/>
      <c r="F25" s="5"/>
      <c r="G25" s="4"/>
    </row>
    <row r="26">
      <c r="A26" s="6"/>
      <c r="B26" s="4"/>
      <c r="C26" s="4"/>
      <c r="D26" s="4"/>
      <c r="E26" s="6"/>
      <c r="F26" s="5"/>
      <c r="G26" s="4"/>
    </row>
    <row r="27">
      <c r="A27" s="6"/>
      <c r="B27" s="4"/>
      <c r="C27" s="4"/>
      <c r="D27" s="4"/>
      <c r="E27" s="6"/>
      <c r="F27" s="5"/>
      <c r="G27" s="4"/>
    </row>
    <row r="28">
      <c r="A28" s="6"/>
      <c r="B28" s="4"/>
      <c r="C28" s="4"/>
      <c r="D28" s="4"/>
      <c r="E28" s="6"/>
      <c r="F28" s="5"/>
      <c r="G28" s="4"/>
    </row>
    <row r="29">
      <c r="A29" s="6"/>
      <c r="B29" s="4"/>
      <c r="C29" s="4"/>
      <c r="D29" s="4"/>
      <c r="E29" s="6"/>
      <c r="F29" s="5"/>
      <c r="G29" s="4"/>
    </row>
    <row r="30">
      <c r="A30" s="6"/>
      <c r="B30" s="4"/>
      <c r="C30" s="4"/>
      <c r="D30" s="4"/>
      <c r="E30" s="6"/>
      <c r="F30" s="5"/>
      <c r="G30" s="4"/>
    </row>
    <row r="31">
      <c r="A31" s="6"/>
      <c r="B31" s="4"/>
      <c r="C31" s="4"/>
      <c r="D31" s="4"/>
      <c r="E31" s="6"/>
      <c r="F31" s="5"/>
      <c r="G31" s="4"/>
    </row>
    <row r="32">
      <c r="A32" s="6"/>
      <c r="B32" s="4"/>
      <c r="C32" s="4"/>
      <c r="D32" s="4"/>
      <c r="E32" s="6"/>
      <c r="F32" s="5"/>
      <c r="G32" s="4"/>
    </row>
    <row r="33">
      <c r="A33" s="6"/>
      <c r="B33" s="4"/>
      <c r="C33" s="4"/>
      <c r="D33" s="4"/>
      <c r="E33" s="6"/>
      <c r="F33" s="5"/>
      <c r="G33" s="4"/>
    </row>
    <row r="34">
      <c r="A34" s="6"/>
      <c r="B34" s="4"/>
      <c r="C34" s="4"/>
      <c r="D34" s="4"/>
      <c r="E34" s="6"/>
      <c r="F34" s="5"/>
      <c r="G34" s="4"/>
    </row>
    <row r="35">
      <c r="A35" s="6"/>
      <c r="B35" s="4"/>
      <c r="C35" s="4"/>
      <c r="D35" s="4"/>
      <c r="E35" s="6"/>
      <c r="F35" s="5"/>
      <c r="G35" s="4"/>
    </row>
    <row r="36">
      <c r="A36" s="6"/>
      <c r="B36" s="4"/>
      <c r="C36" s="4"/>
      <c r="D36" s="4"/>
      <c r="E36" s="6"/>
      <c r="F36" s="5"/>
      <c r="G36" s="4"/>
    </row>
    <row r="37">
      <c r="A37" s="6"/>
      <c r="B37" s="4"/>
      <c r="C37" s="4"/>
      <c r="D37" s="4"/>
      <c r="E37" s="6"/>
      <c r="F37" s="5"/>
      <c r="G37" s="4"/>
    </row>
    <row r="38">
      <c r="A38" s="6"/>
      <c r="B38" s="4"/>
      <c r="C38" s="4"/>
      <c r="D38" s="4"/>
      <c r="E38" s="6"/>
      <c r="F38" s="5"/>
      <c r="G38" s="4"/>
    </row>
    <row r="39">
      <c r="A39" s="6"/>
      <c r="B39" s="4"/>
      <c r="C39" s="4"/>
      <c r="D39" s="4"/>
      <c r="E39" s="6"/>
      <c r="F39" s="5"/>
      <c r="G39" s="4"/>
    </row>
    <row r="40">
      <c r="A40" s="6"/>
      <c r="B40" s="4"/>
      <c r="C40" s="4"/>
      <c r="D40" s="4"/>
      <c r="E40" s="6"/>
      <c r="F40" s="5"/>
      <c r="G40" s="4"/>
    </row>
    <row r="41">
      <c r="A41" s="6"/>
      <c r="B41" s="4"/>
      <c r="C41" s="4"/>
      <c r="D41" s="4"/>
      <c r="E41" s="6"/>
      <c r="F41" s="5"/>
      <c r="G41" s="4"/>
    </row>
    <row r="42">
      <c r="A42" s="6"/>
      <c r="B42" s="4"/>
      <c r="C42" s="4"/>
      <c r="D42" s="4"/>
      <c r="E42" s="6"/>
      <c r="F42" s="5"/>
      <c r="G42" s="4"/>
    </row>
    <row r="43">
      <c r="A43" s="6"/>
      <c r="B43" s="4"/>
      <c r="C43" s="4"/>
      <c r="D43" s="4"/>
      <c r="E43" s="6"/>
      <c r="F43" s="5"/>
      <c r="G43" s="4"/>
    </row>
    <row r="44">
      <c r="A44" s="6"/>
      <c r="B44" s="4"/>
      <c r="C44" s="4"/>
      <c r="D44" s="4"/>
      <c r="E44" s="6"/>
      <c r="F44" s="5"/>
      <c r="G44" s="4"/>
    </row>
    <row r="45">
      <c r="A45" s="6"/>
      <c r="B45" s="4"/>
      <c r="C45" s="4"/>
      <c r="D45" s="4"/>
      <c r="E45" s="6"/>
      <c r="F45" s="5"/>
      <c r="G45" s="4"/>
    </row>
    <row r="46">
      <c r="A46" s="6"/>
      <c r="B46" s="4"/>
      <c r="C46" s="4"/>
      <c r="D46" s="4"/>
      <c r="E46" s="6"/>
      <c r="F46" s="5"/>
      <c r="G46" s="4"/>
    </row>
    <row r="47">
      <c r="A47" s="6"/>
      <c r="B47" s="4"/>
      <c r="C47" s="4"/>
      <c r="D47" s="4"/>
      <c r="E47" s="6"/>
      <c r="F47" s="5"/>
      <c r="G47" s="4"/>
    </row>
    <row r="48">
      <c r="A48" s="6"/>
      <c r="B48" s="4"/>
      <c r="C48" s="4"/>
      <c r="D48" s="4"/>
      <c r="E48" s="6"/>
      <c r="F48" s="5"/>
      <c r="G48" s="4"/>
    </row>
    <row r="49">
      <c r="A49" s="6"/>
      <c r="B49" s="4"/>
      <c r="C49" s="4"/>
      <c r="D49" s="4"/>
      <c r="E49" s="6"/>
      <c r="F49" s="5"/>
      <c r="G49" s="4"/>
    </row>
    <row r="50">
      <c r="A50" s="6"/>
      <c r="B50" s="4"/>
      <c r="C50" s="4"/>
      <c r="D50" s="4"/>
      <c r="E50" s="6"/>
      <c r="F50" s="5"/>
      <c r="G50" s="4"/>
    </row>
    <row r="51">
      <c r="A51" s="6"/>
      <c r="B51" s="4"/>
      <c r="C51" s="4"/>
      <c r="D51" s="4"/>
      <c r="E51" s="6"/>
      <c r="F51" s="5"/>
      <c r="G51" s="4"/>
    </row>
    <row r="52">
      <c r="A52" s="6"/>
      <c r="B52" s="4"/>
      <c r="C52" s="4"/>
      <c r="D52" s="4"/>
      <c r="E52" s="6"/>
      <c r="F52" s="5"/>
      <c r="G52" s="4"/>
    </row>
    <row r="53">
      <c r="A53" s="6"/>
      <c r="B53" s="4"/>
      <c r="C53" s="4"/>
      <c r="D53" s="4"/>
      <c r="E53" s="6"/>
      <c r="F53" s="5"/>
      <c r="G53" s="4"/>
    </row>
    <row r="54">
      <c r="A54" s="6"/>
      <c r="B54" s="4"/>
      <c r="C54" s="4"/>
      <c r="D54" s="4"/>
      <c r="E54" s="6"/>
      <c r="F54" s="5"/>
      <c r="G54" s="4"/>
    </row>
    <row r="55">
      <c r="A55" s="6"/>
      <c r="B55" s="4"/>
      <c r="C55" s="4"/>
      <c r="D55" s="4"/>
      <c r="E55" s="6"/>
      <c r="F55" s="5"/>
      <c r="G55" s="4"/>
    </row>
    <row r="56">
      <c r="A56" s="6"/>
      <c r="B56" s="4"/>
      <c r="C56" s="4"/>
      <c r="D56" s="4"/>
      <c r="E56" s="6"/>
      <c r="F56" s="5"/>
      <c r="G56" s="4"/>
    </row>
    <row r="57">
      <c r="A57" s="6"/>
      <c r="B57" s="4"/>
      <c r="C57" s="4"/>
      <c r="D57" s="4"/>
      <c r="E57" s="6"/>
      <c r="F57" s="5"/>
      <c r="G57" s="4"/>
    </row>
    <row r="58">
      <c r="A58" s="6"/>
      <c r="B58" s="4"/>
      <c r="C58" s="4"/>
      <c r="D58" s="4"/>
      <c r="E58" s="6"/>
      <c r="F58" s="5"/>
      <c r="G58" s="4"/>
    </row>
    <row r="59">
      <c r="A59" s="6"/>
      <c r="B59" s="4"/>
      <c r="C59" s="4"/>
      <c r="D59" s="4"/>
      <c r="E59" s="6"/>
      <c r="F59" s="5"/>
      <c r="G59" s="4"/>
    </row>
    <row r="60">
      <c r="A60" s="6"/>
      <c r="B60" s="4"/>
      <c r="C60" s="4"/>
      <c r="D60" s="4"/>
      <c r="E60" s="6"/>
      <c r="F60" s="5"/>
      <c r="G60" s="4"/>
    </row>
    <row r="61">
      <c r="A61" s="6"/>
      <c r="B61" s="4"/>
      <c r="C61" s="4"/>
      <c r="D61" s="4"/>
      <c r="E61" s="6"/>
      <c r="F61" s="5"/>
      <c r="G61" s="4"/>
    </row>
    <row r="62">
      <c r="A62" s="6"/>
      <c r="B62" s="4"/>
      <c r="C62" s="4"/>
      <c r="D62" s="4"/>
      <c r="E62" s="6"/>
      <c r="F62" s="5"/>
      <c r="G62" s="4"/>
    </row>
    <row r="63">
      <c r="A63" s="6"/>
      <c r="B63" s="4"/>
      <c r="C63" s="4"/>
      <c r="D63" s="4"/>
      <c r="E63" s="6"/>
      <c r="F63" s="5"/>
      <c r="G63" s="4"/>
    </row>
    <row r="64">
      <c r="A64" s="6"/>
      <c r="B64" s="4"/>
      <c r="C64" s="4"/>
      <c r="D64" s="4"/>
      <c r="E64" s="6"/>
      <c r="F64" s="5"/>
      <c r="G64" s="4"/>
    </row>
    <row r="65">
      <c r="A65" s="6"/>
      <c r="B65" s="4"/>
      <c r="C65" s="4"/>
      <c r="D65" s="4"/>
      <c r="E65" s="6"/>
      <c r="F65" s="5"/>
      <c r="G65" s="4"/>
    </row>
    <row r="66">
      <c r="A66" s="6"/>
      <c r="B66" s="4"/>
      <c r="C66" s="4"/>
      <c r="D66" s="4"/>
      <c r="E66" s="6"/>
      <c r="F66" s="5"/>
      <c r="G66" s="4"/>
    </row>
    <row r="67">
      <c r="A67" s="6"/>
      <c r="B67" s="4"/>
      <c r="C67" s="4"/>
      <c r="D67" s="4"/>
      <c r="E67" s="6"/>
      <c r="F67" s="5"/>
      <c r="G67" s="4"/>
    </row>
    <row r="68">
      <c r="A68" s="6"/>
      <c r="B68" s="4"/>
      <c r="C68" s="4"/>
      <c r="D68" s="4"/>
      <c r="E68" s="6"/>
      <c r="F68" s="5"/>
      <c r="G68" s="4"/>
    </row>
    <row r="69">
      <c r="A69" s="6"/>
      <c r="B69" s="4"/>
      <c r="C69" s="4"/>
      <c r="D69" s="4"/>
      <c r="E69" s="6"/>
      <c r="F69" s="5"/>
      <c r="G69" s="4"/>
    </row>
    <row r="70">
      <c r="A70" s="6"/>
      <c r="B70" s="4"/>
      <c r="C70" s="4"/>
      <c r="D70" s="4"/>
      <c r="E70" s="6"/>
      <c r="F70" s="5"/>
      <c r="G70" s="4"/>
    </row>
    <row r="71">
      <c r="A71" s="6"/>
      <c r="B71" s="4"/>
      <c r="C71" s="4"/>
      <c r="D71" s="4"/>
      <c r="E71" s="6"/>
      <c r="F71" s="5"/>
      <c r="G71" s="4"/>
    </row>
    <row r="72">
      <c r="A72" s="6"/>
      <c r="B72" s="4"/>
      <c r="C72" s="4"/>
      <c r="D72" s="4"/>
      <c r="E72" s="6"/>
      <c r="F72" s="5"/>
      <c r="G72" s="4"/>
    </row>
    <row r="73">
      <c r="A73" s="6"/>
      <c r="B73" s="4"/>
      <c r="C73" s="4"/>
      <c r="D73" s="4"/>
      <c r="E73" s="6"/>
      <c r="F73" s="5"/>
      <c r="G73" s="4"/>
    </row>
    <row r="74">
      <c r="A74" s="6"/>
      <c r="B74" s="4"/>
      <c r="C74" s="4"/>
      <c r="D74" s="4"/>
      <c r="E74" s="6"/>
      <c r="F74" s="5"/>
      <c r="G74" s="4"/>
    </row>
    <row r="75">
      <c r="A75" s="6"/>
      <c r="B75" s="4"/>
      <c r="C75" s="4"/>
      <c r="D75" s="4"/>
      <c r="E75" s="6"/>
      <c r="F75" s="5"/>
      <c r="G75" s="4"/>
    </row>
    <row r="76">
      <c r="A76" s="6"/>
      <c r="B76" s="4"/>
      <c r="C76" s="4"/>
      <c r="D76" s="4"/>
      <c r="E76" s="6"/>
      <c r="F76" s="5"/>
      <c r="G76" s="4"/>
    </row>
    <row r="77">
      <c r="A77" s="6"/>
      <c r="B77" s="4"/>
      <c r="C77" s="4"/>
      <c r="D77" s="4"/>
      <c r="E77" s="6"/>
      <c r="F77" s="5"/>
      <c r="G77" s="4"/>
    </row>
    <row r="78">
      <c r="A78" s="6"/>
      <c r="B78" s="4"/>
      <c r="C78" s="4"/>
      <c r="D78" s="4"/>
      <c r="E78" s="6"/>
      <c r="F78" s="5"/>
      <c r="G78" s="4"/>
    </row>
    <row r="79">
      <c r="A79" s="6"/>
      <c r="B79" s="4"/>
      <c r="C79" s="4"/>
      <c r="D79" s="4"/>
      <c r="E79" s="6"/>
      <c r="F79" s="5"/>
      <c r="G79" s="4"/>
    </row>
    <row r="80">
      <c r="A80" s="6"/>
      <c r="B80" s="4"/>
      <c r="C80" s="4"/>
      <c r="D80" s="4"/>
      <c r="E80" s="6"/>
      <c r="F80" s="5"/>
      <c r="G80" s="4"/>
    </row>
    <row r="81">
      <c r="A81" s="6"/>
      <c r="B81" s="4"/>
      <c r="C81" s="4"/>
      <c r="D81" s="4"/>
      <c r="E81" s="6"/>
      <c r="F81" s="5"/>
      <c r="G81" s="4"/>
    </row>
    <row r="82">
      <c r="A82" s="6"/>
      <c r="B82" s="4"/>
      <c r="C82" s="4"/>
      <c r="D82" s="4"/>
      <c r="E82" s="6"/>
      <c r="F82" s="5"/>
      <c r="G82" s="4"/>
    </row>
    <row r="83">
      <c r="A83" s="6"/>
      <c r="B83" s="4"/>
      <c r="C83" s="4"/>
      <c r="D83" s="4"/>
      <c r="E83" s="6"/>
      <c r="F83" s="5"/>
      <c r="G83" s="4"/>
    </row>
    <row r="84">
      <c r="A84" s="6"/>
      <c r="B84" s="4"/>
      <c r="C84" s="4"/>
      <c r="D84" s="4"/>
      <c r="E84" s="6"/>
      <c r="F84" s="5"/>
      <c r="G84" s="4"/>
    </row>
    <row r="85">
      <c r="A85" s="6"/>
      <c r="B85" s="4"/>
      <c r="C85" s="4"/>
      <c r="D85" s="4"/>
      <c r="E85" s="6"/>
      <c r="F85" s="5"/>
      <c r="G85" s="4"/>
    </row>
    <row r="86">
      <c r="A86" s="6"/>
      <c r="B86" s="4"/>
      <c r="C86" s="4"/>
      <c r="D86" s="4"/>
      <c r="E86" s="6"/>
      <c r="F86" s="5"/>
      <c r="G86" s="4"/>
    </row>
    <row r="87">
      <c r="A87" s="6"/>
      <c r="B87" s="4"/>
      <c r="C87" s="4"/>
      <c r="D87" s="4"/>
      <c r="E87" s="6"/>
      <c r="F87" s="5"/>
      <c r="G87" s="4"/>
    </row>
    <row r="88">
      <c r="A88" s="6"/>
      <c r="B88" s="4"/>
      <c r="C88" s="4"/>
      <c r="D88" s="4"/>
      <c r="E88" s="6"/>
      <c r="F88" s="5"/>
      <c r="G88" s="4"/>
    </row>
    <row r="89">
      <c r="A89" s="6"/>
      <c r="B89" s="4"/>
      <c r="C89" s="4"/>
      <c r="D89" s="4"/>
      <c r="E89" s="6"/>
      <c r="F89" s="5"/>
      <c r="G89" s="4"/>
    </row>
    <row r="90">
      <c r="A90" s="6"/>
      <c r="B90" s="4"/>
      <c r="C90" s="4"/>
      <c r="D90" s="4"/>
      <c r="E90" s="6"/>
      <c r="F90" s="5"/>
      <c r="G90" s="4"/>
    </row>
    <row r="91">
      <c r="A91" s="6"/>
      <c r="B91" s="4"/>
      <c r="C91" s="4"/>
      <c r="D91" s="4"/>
      <c r="E91" s="6"/>
      <c r="F91" s="5"/>
      <c r="G91" s="4"/>
    </row>
    <row r="92">
      <c r="A92" s="6"/>
      <c r="B92" s="4"/>
      <c r="C92" s="4"/>
      <c r="D92" s="4"/>
      <c r="E92" s="6"/>
      <c r="F92" s="5"/>
      <c r="G92" s="4"/>
    </row>
    <row r="93">
      <c r="A93" s="6"/>
      <c r="B93" s="4"/>
      <c r="C93" s="4"/>
      <c r="D93" s="4"/>
      <c r="E93" s="6"/>
      <c r="F93" s="5"/>
      <c r="G93" s="4"/>
    </row>
    <row r="94">
      <c r="A94" s="6"/>
      <c r="B94" s="4"/>
      <c r="C94" s="4"/>
      <c r="D94" s="4"/>
      <c r="E94" s="6"/>
      <c r="F94" s="5"/>
      <c r="G94" s="4"/>
    </row>
    <row r="95">
      <c r="A95" s="6"/>
      <c r="B95" s="4"/>
      <c r="C95" s="4"/>
      <c r="D95" s="4"/>
      <c r="E95" s="6"/>
      <c r="F95" s="5"/>
      <c r="G95" s="4"/>
    </row>
    <row r="96">
      <c r="A96" s="6"/>
      <c r="B96" s="4"/>
      <c r="C96" s="4"/>
      <c r="D96" s="4"/>
      <c r="E96" s="6"/>
      <c r="F96" s="5"/>
      <c r="G96" s="4"/>
    </row>
    <row r="97">
      <c r="A97" s="6"/>
      <c r="B97" s="4"/>
      <c r="C97" s="4"/>
      <c r="D97" s="4"/>
      <c r="E97" s="6"/>
      <c r="F97" s="5"/>
      <c r="G97" s="4"/>
    </row>
    <row r="98">
      <c r="A98" s="6"/>
      <c r="B98" s="4"/>
      <c r="C98" s="4"/>
      <c r="D98" s="4"/>
      <c r="E98" s="6"/>
      <c r="F98" s="5"/>
      <c r="G98" s="4"/>
    </row>
    <row r="99">
      <c r="A99" s="6"/>
      <c r="B99" s="4"/>
      <c r="C99" s="4"/>
      <c r="D99" s="4"/>
      <c r="E99" s="6"/>
      <c r="F99" s="5"/>
      <c r="G99" s="4"/>
    </row>
    <row r="100">
      <c r="A100" s="6"/>
      <c r="B100" s="4"/>
      <c r="C100" s="4"/>
      <c r="D100" s="4"/>
      <c r="E100" s="6"/>
      <c r="F100" s="5"/>
      <c r="G100" s="4"/>
    </row>
    <row r="101">
      <c r="A101" s="6"/>
      <c r="B101" s="4"/>
      <c r="C101" s="4"/>
      <c r="D101" s="4"/>
      <c r="E101" s="6"/>
      <c r="F101" s="5"/>
      <c r="G101" s="4"/>
    </row>
    <row r="102">
      <c r="A102" s="6"/>
      <c r="B102" s="4"/>
      <c r="C102" s="4"/>
      <c r="D102" s="4"/>
      <c r="E102" s="6"/>
      <c r="F102" s="5"/>
      <c r="G102" s="4"/>
    </row>
    <row r="103">
      <c r="A103" s="6"/>
      <c r="B103" s="4"/>
      <c r="C103" s="4"/>
      <c r="D103" s="4"/>
      <c r="E103" s="6"/>
      <c r="F103" s="5"/>
      <c r="G103" s="4"/>
    </row>
    <row r="104">
      <c r="A104" s="6"/>
      <c r="B104" s="4"/>
      <c r="C104" s="4"/>
      <c r="D104" s="4"/>
      <c r="E104" s="6"/>
      <c r="F104" s="5"/>
      <c r="G104" s="4"/>
    </row>
    <row r="105">
      <c r="A105" s="6"/>
      <c r="B105" s="4"/>
      <c r="C105" s="4"/>
      <c r="D105" s="4"/>
      <c r="E105" s="6"/>
      <c r="F105" s="5"/>
      <c r="G105" s="4"/>
    </row>
    <row r="106">
      <c r="A106" s="6"/>
      <c r="B106" s="4"/>
      <c r="C106" s="4"/>
      <c r="D106" s="4"/>
      <c r="E106" s="6"/>
      <c r="F106" s="5"/>
      <c r="G106" s="4"/>
    </row>
    <row r="107">
      <c r="A107" s="6"/>
      <c r="B107" s="4"/>
      <c r="C107" s="4"/>
      <c r="D107" s="4"/>
      <c r="E107" s="6"/>
      <c r="F107" s="5"/>
      <c r="G107" s="4"/>
    </row>
    <row r="108">
      <c r="A108" s="6"/>
      <c r="B108" s="4"/>
      <c r="C108" s="4"/>
      <c r="D108" s="4"/>
      <c r="E108" s="6"/>
      <c r="F108" s="5"/>
      <c r="G108" s="4"/>
    </row>
    <row r="109">
      <c r="A109" s="6"/>
      <c r="B109" s="4"/>
      <c r="C109" s="4"/>
      <c r="D109" s="4"/>
      <c r="E109" s="6"/>
      <c r="F109" s="5"/>
      <c r="G109" s="4"/>
    </row>
    <row r="110">
      <c r="A110" s="6"/>
      <c r="B110" s="4"/>
      <c r="C110" s="4"/>
      <c r="D110" s="4"/>
      <c r="E110" s="6"/>
      <c r="F110" s="5"/>
      <c r="G110" s="4"/>
    </row>
    <row r="111">
      <c r="A111" s="6"/>
      <c r="B111" s="4"/>
      <c r="C111" s="4"/>
      <c r="D111" s="4"/>
      <c r="E111" s="6"/>
      <c r="F111" s="5"/>
      <c r="G111" s="4"/>
    </row>
    <row r="112">
      <c r="A112" s="6"/>
      <c r="B112" s="4"/>
      <c r="C112" s="4"/>
      <c r="D112" s="4"/>
      <c r="E112" s="6"/>
      <c r="F112" s="5"/>
      <c r="G112" s="4"/>
    </row>
    <row r="113">
      <c r="A113" s="6"/>
      <c r="B113" s="4"/>
      <c r="C113" s="4"/>
      <c r="D113" s="4"/>
      <c r="E113" s="6"/>
      <c r="F113" s="5"/>
      <c r="G113" s="4"/>
    </row>
    <row r="114">
      <c r="A114" s="6"/>
      <c r="B114" s="4"/>
      <c r="C114" s="4"/>
      <c r="D114" s="4"/>
      <c r="E114" s="6"/>
      <c r="F114" s="5"/>
      <c r="G114" s="4"/>
    </row>
    <row r="115">
      <c r="A115" s="6"/>
      <c r="B115" s="4"/>
      <c r="C115" s="4"/>
      <c r="D115" s="4"/>
      <c r="E115" s="6"/>
      <c r="F115" s="5"/>
      <c r="G115" s="4"/>
    </row>
    <row r="116">
      <c r="A116" s="6"/>
      <c r="B116" s="4"/>
      <c r="C116" s="4"/>
      <c r="D116" s="4"/>
      <c r="E116" s="6"/>
      <c r="F116" s="5"/>
      <c r="G116" s="4"/>
    </row>
    <row r="117">
      <c r="A117" s="6"/>
      <c r="B117" s="4"/>
      <c r="C117" s="4"/>
      <c r="D117" s="4"/>
      <c r="E117" s="6"/>
      <c r="F117" s="5"/>
      <c r="G117" s="4"/>
    </row>
    <row r="118">
      <c r="A118" s="6"/>
      <c r="B118" s="4"/>
      <c r="C118" s="4"/>
      <c r="D118" s="4"/>
      <c r="E118" s="6"/>
      <c r="F118" s="5"/>
      <c r="G118" s="4"/>
    </row>
    <row r="119">
      <c r="A119" s="6"/>
      <c r="B119" s="4"/>
      <c r="C119" s="4"/>
      <c r="D119" s="4"/>
      <c r="E119" s="6"/>
      <c r="F119" s="5"/>
      <c r="G119" s="4"/>
    </row>
    <row r="120">
      <c r="A120" s="6"/>
      <c r="B120" s="4"/>
      <c r="C120" s="4"/>
      <c r="D120" s="4"/>
      <c r="E120" s="6"/>
      <c r="F120" s="5"/>
      <c r="G120" s="4"/>
    </row>
    <row r="121">
      <c r="A121" s="6"/>
      <c r="B121" s="4"/>
      <c r="C121" s="4"/>
      <c r="D121" s="4"/>
      <c r="E121" s="6"/>
      <c r="F121" s="5"/>
      <c r="G121" s="4"/>
    </row>
    <row r="122">
      <c r="A122" s="6"/>
      <c r="B122" s="4"/>
      <c r="C122" s="4"/>
      <c r="D122" s="4"/>
      <c r="E122" s="6"/>
      <c r="F122" s="5"/>
      <c r="G122" s="4"/>
    </row>
    <row r="123">
      <c r="A123" s="6"/>
      <c r="B123" s="4"/>
      <c r="C123" s="4"/>
      <c r="D123" s="4"/>
      <c r="E123" s="6"/>
      <c r="F123" s="5"/>
      <c r="G123" s="4"/>
    </row>
    <row r="124">
      <c r="A124" s="6"/>
      <c r="B124" s="4"/>
      <c r="C124" s="4"/>
      <c r="D124" s="4"/>
      <c r="E124" s="6"/>
      <c r="F124" s="5"/>
      <c r="G124" s="4"/>
    </row>
    <row r="125">
      <c r="A125" s="6"/>
      <c r="B125" s="4"/>
      <c r="C125" s="4"/>
      <c r="D125" s="4"/>
      <c r="E125" s="6"/>
      <c r="F125" s="5"/>
      <c r="G125" s="4"/>
    </row>
    <row r="126">
      <c r="A126" s="6"/>
      <c r="B126" s="4"/>
      <c r="C126" s="4"/>
      <c r="D126" s="4"/>
      <c r="E126" s="6"/>
      <c r="F126" s="5"/>
      <c r="G126" s="4"/>
    </row>
    <row r="127">
      <c r="A127" s="6"/>
      <c r="B127" s="4"/>
      <c r="C127" s="4"/>
      <c r="D127" s="4"/>
      <c r="E127" s="6"/>
      <c r="F127" s="5"/>
      <c r="G127" s="4"/>
    </row>
    <row r="128">
      <c r="A128" s="6"/>
      <c r="B128" s="4"/>
      <c r="C128" s="4"/>
      <c r="D128" s="4"/>
      <c r="E128" s="6"/>
      <c r="F128" s="5"/>
      <c r="G128" s="4"/>
    </row>
    <row r="129">
      <c r="A129" s="6"/>
      <c r="B129" s="4"/>
      <c r="C129" s="4"/>
      <c r="D129" s="4"/>
      <c r="E129" s="6"/>
      <c r="F129" s="5"/>
      <c r="G129" s="4"/>
    </row>
    <row r="130">
      <c r="A130" s="6"/>
      <c r="B130" s="4"/>
      <c r="C130" s="4"/>
      <c r="D130" s="4"/>
      <c r="E130" s="6"/>
      <c r="F130" s="5"/>
      <c r="G130" s="4"/>
    </row>
    <row r="131">
      <c r="A131" s="6"/>
      <c r="B131" s="4"/>
      <c r="C131" s="4"/>
      <c r="D131" s="4"/>
      <c r="E131" s="6"/>
      <c r="F131" s="5"/>
      <c r="G131" s="4"/>
    </row>
    <row r="132">
      <c r="A132" s="6"/>
      <c r="B132" s="4"/>
      <c r="C132" s="4"/>
      <c r="D132" s="4"/>
      <c r="E132" s="6"/>
      <c r="F132" s="5"/>
      <c r="G132" s="4"/>
    </row>
    <row r="133">
      <c r="A133" s="6"/>
      <c r="B133" s="4"/>
      <c r="C133" s="4"/>
      <c r="D133" s="4"/>
      <c r="E133" s="6"/>
      <c r="F133" s="5"/>
      <c r="G133" s="4"/>
    </row>
    <row r="134">
      <c r="A134" s="6"/>
      <c r="B134" s="4"/>
      <c r="C134" s="4"/>
      <c r="D134" s="4"/>
      <c r="E134" s="6"/>
      <c r="F134" s="5"/>
      <c r="G134" s="4"/>
    </row>
    <row r="135">
      <c r="A135" s="6"/>
      <c r="B135" s="4"/>
      <c r="C135" s="4"/>
      <c r="D135" s="4"/>
      <c r="E135" s="6"/>
      <c r="F135" s="5"/>
      <c r="G135" s="4"/>
    </row>
    <row r="136">
      <c r="A136" s="6"/>
      <c r="B136" s="4"/>
      <c r="C136" s="4"/>
      <c r="D136" s="4"/>
      <c r="E136" s="6"/>
      <c r="F136" s="5"/>
      <c r="G136" s="4"/>
    </row>
    <row r="137">
      <c r="A137" s="6"/>
      <c r="B137" s="4"/>
      <c r="C137" s="4"/>
      <c r="D137" s="4"/>
      <c r="E137" s="6"/>
      <c r="F137" s="5"/>
      <c r="G137" s="4"/>
    </row>
    <row r="138">
      <c r="A138" s="6"/>
      <c r="B138" s="4"/>
      <c r="C138" s="4"/>
      <c r="D138" s="4"/>
      <c r="E138" s="6"/>
      <c r="F138" s="5"/>
      <c r="G138" s="4"/>
    </row>
    <row r="139">
      <c r="A139" s="6"/>
      <c r="B139" s="4"/>
      <c r="C139" s="4"/>
      <c r="D139" s="4"/>
      <c r="E139" s="6"/>
      <c r="F139" s="5"/>
      <c r="G139" s="4"/>
    </row>
    <row r="140">
      <c r="A140" s="6"/>
      <c r="B140" s="4"/>
      <c r="C140" s="4"/>
      <c r="D140" s="4"/>
      <c r="E140" s="6"/>
      <c r="F140" s="5"/>
      <c r="G140" s="4"/>
    </row>
    <row r="141">
      <c r="A141" s="6"/>
      <c r="B141" s="4"/>
      <c r="C141" s="4"/>
      <c r="D141" s="4"/>
      <c r="E141" s="6"/>
      <c r="F141" s="5"/>
      <c r="G141" s="4"/>
    </row>
    <row r="142">
      <c r="A142" s="6"/>
      <c r="B142" s="4"/>
      <c r="C142" s="4"/>
      <c r="D142" s="4"/>
      <c r="E142" s="6"/>
      <c r="F142" s="5"/>
      <c r="G142" s="4"/>
    </row>
    <row r="143">
      <c r="A143" s="6"/>
      <c r="B143" s="4"/>
      <c r="C143" s="4"/>
      <c r="D143" s="4"/>
      <c r="E143" s="6"/>
      <c r="F143" s="5"/>
      <c r="G143" s="4"/>
    </row>
    <row r="144">
      <c r="A144" s="6"/>
      <c r="B144" s="4"/>
      <c r="C144" s="4"/>
      <c r="D144" s="4"/>
      <c r="E144" s="6"/>
      <c r="F144" s="5"/>
      <c r="G144" s="4"/>
    </row>
    <row r="145">
      <c r="A145" s="6"/>
      <c r="B145" s="4"/>
      <c r="C145" s="4"/>
      <c r="D145" s="4"/>
      <c r="E145" s="6"/>
      <c r="F145" s="5"/>
      <c r="G145" s="4"/>
    </row>
    <row r="146">
      <c r="A146" s="6"/>
      <c r="B146" s="4"/>
      <c r="C146" s="4"/>
      <c r="D146" s="4"/>
      <c r="E146" s="6"/>
      <c r="F146" s="5"/>
      <c r="G146" s="4"/>
    </row>
    <row r="147">
      <c r="A147" s="6"/>
      <c r="B147" s="4"/>
      <c r="C147" s="4"/>
      <c r="D147" s="4"/>
      <c r="E147" s="6"/>
      <c r="F147" s="5"/>
      <c r="G147" s="4"/>
    </row>
    <row r="148">
      <c r="A148" s="6"/>
      <c r="B148" s="4"/>
      <c r="C148" s="4"/>
      <c r="D148" s="4"/>
      <c r="E148" s="6"/>
      <c r="F148" s="5"/>
      <c r="G148" s="4"/>
    </row>
    <row r="149">
      <c r="A149" s="6"/>
      <c r="B149" s="4"/>
      <c r="C149" s="4"/>
      <c r="D149" s="4"/>
      <c r="E149" s="6"/>
      <c r="F149" s="5"/>
      <c r="G149" s="4"/>
    </row>
    <row r="150">
      <c r="A150" s="6"/>
      <c r="B150" s="4"/>
      <c r="C150" s="4"/>
      <c r="D150" s="4"/>
      <c r="E150" s="6"/>
      <c r="F150" s="5"/>
      <c r="G150" s="4"/>
    </row>
    <row r="151">
      <c r="A151" s="6"/>
      <c r="B151" s="4"/>
      <c r="C151" s="4"/>
      <c r="D151" s="4"/>
      <c r="E151" s="6"/>
      <c r="F151" s="5"/>
      <c r="G151" s="4"/>
    </row>
    <row r="152">
      <c r="A152" s="6"/>
      <c r="B152" s="4"/>
      <c r="C152" s="4"/>
      <c r="D152" s="4"/>
      <c r="E152" s="6"/>
      <c r="F152" s="5"/>
      <c r="G152" s="4"/>
    </row>
    <row r="153">
      <c r="A153" s="6"/>
      <c r="B153" s="4"/>
      <c r="C153" s="4"/>
      <c r="D153" s="4"/>
      <c r="E153" s="6"/>
      <c r="F153" s="5"/>
      <c r="G153" s="4"/>
    </row>
    <row r="154">
      <c r="A154" s="6"/>
      <c r="B154" s="4"/>
      <c r="C154" s="4"/>
      <c r="D154" s="4"/>
      <c r="E154" s="6"/>
      <c r="F154" s="5"/>
      <c r="G154" s="4"/>
    </row>
    <row r="155">
      <c r="A155" s="6"/>
      <c r="B155" s="4"/>
      <c r="C155" s="4"/>
      <c r="D155" s="4"/>
      <c r="E155" s="6"/>
      <c r="F155" s="5"/>
      <c r="G155" s="4"/>
    </row>
    <row r="156">
      <c r="A156" s="6"/>
      <c r="B156" s="4"/>
      <c r="C156" s="4"/>
      <c r="D156" s="4"/>
      <c r="E156" s="6"/>
      <c r="F156" s="5"/>
      <c r="G156" s="4"/>
    </row>
    <row r="157">
      <c r="A157" s="6"/>
      <c r="B157" s="4"/>
      <c r="C157" s="4"/>
      <c r="D157" s="4"/>
      <c r="E157" s="6"/>
      <c r="F157" s="5"/>
      <c r="G157" s="4"/>
    </row>
    <row r="158">
      <c r="A158" s="6"/>
      <c r="B158" s="4"/>
      <c r="C158" s="4"/>
      <c r="D158" s="4"/>
      <c r="E158" s="6"/>
      <c r="F158" s="5"/>
      <c r="G158" s="4"/>
    </row>
    <row r="159">
      <c r="A159" s="6"/>
      <c r="B159" s="4"/>
      <c r="C159" s="4"/>
      <c r="D159" s="4"/>
      <c r="E159" s="6"/>
      <c r="F159" s="5"/>
      <c r="G159" s="4"/>
    </row>
    <row r="160">
      <c r="A160" s="6"/>
      <c r="B160" s="4"/>
      <c r="C160" s="4"/>
      <c r="D160" s="4"/>
      <c r="E160" s="6"/>
      <c r="F160" s="5"/>
      <c r="G160" s="4"/>
    </row>
    <row r="161">
      <c r="A161" s="6"/>
      <c r="B161" s="4"/>
      <c r="C161" s="4"/>
      <c r="D161" s="4"/>
      <c r="E161" s="6"/>
      <c r="F161" s="5"/>
      <c r="G161" s="4"/>
    </row>
    <row r="162">
      <c r="A162" s="6"/>
      <c r="B162" s="4"/>
      <c r="C162" s="4"/>
      <c r="D162" s="4"/>
      <c r="E162" s="6"/>
      <c r="F162" s="5"/>
      <c r="G162" s="4"/>
    </row>
    <row r="163">
      <c r="A163" s="6"/>
      <c r="B163" s="4"/>
      <c r="C163" s="4"/>
      <c r="D163" s="4"/>
      <c r="E163" s="6"/>
      <c r="F163" s="5"/>
      <c r="G163" s="4"/>
    </row>
    <row r="164">
      <c r="A164" s="6"/>
      <c r="B164" s="4"/>
      <c r="C164" s="4"/>
      <c r="D164" s="4"/>
      <c r="E164" s="6"/>
      <c r="F164" s="5"/>
      <c r="G164" s="4"/>
    </row>
    <row r="165">
      <c r="A165" s="6"/>
      <c r="B165" s="4"/>
      <c r="C165" s="4"/>
      <c r="D165" s="4"/>
      <c r="E165" s="6"/>
      <c r="F165" s="5"/>
      <c r="G165" s="4"/>
    </row>
    <row r="166">
      <c r="A166" s="6"/>
      <c r="B166" s="4"/>
      <c r="C166" s="4"/>
      <c r="D166" s="4"/>
      <c r="E166" s="6"/>
      <c r="F166" s="5"/>
      <c r="G166" s="4"/>
    </row>
    <row r="167">
      <c r="A167" s="6"/>
      <c r="B167" s="4"/>
      <c r="C167" s="4"/>
      <c r="D167" s="4"/>
      <c r="E167" s="6"/>
      <c r="F167" s="5"/>
      <c r="G167" s="4"/>
    </row>
    <row r="168">
      <c r="A168" s="6"/>
      <c r="B168" s="4"/>
      <c r="C168" s="4"/>
      <c r="D168" s="4"/>
      <c r="E168" s="6"/>
      <c r="F168" s="5"/>
      <c r="G168" s="4"/>
    </row>
    <row r="169">
      <c r="A169" s="6"/>
      <c r="B169" s="4"/>
      <c r="C169" s="4"/>
      <c r="D169" s="4"/>
      <c r="E169" s="6"/>
      <c r="F169" s="5"/>
      <c r="G169" s="4"/>
    </row>
    <row r="170">
      <c r="A170" s="6"/>
      <c r="B170" s="4"/>
      <c r="C170" s="4"/>
      <c r="D170" s="4"/>
      <c r="E170" s="6"/>
      <c r="F170" s="5"/>
      <c r="G170" s="4"/>
    </row>
    <row r="171">
      <c r="A171" s="6"/>
      <c r="B171" s="4"/>
      <c r="C171" s="4"/>
      <c r="D171" s="4"/>
      <c r="E171" s="6"/>
      <c r="F171" s="5"/>
      <c r="G171" s="4"/>
    </row>
    <row r="172">
      <c r="A172" s="6"/>
      <c r="B172" s="4"/>
      <c r="C172" s="4"/>
      <c r="D172" s="4"/>
      <c r="E172" s="6"/>
      <c r="F172" s="5"/>
      <c r="G172" s="4"/>
    </row>
    <row r="173">
      <c r="A173" s="6"/>
      <c r="B173" s="4"/>
      <c r="C173" s="4"/>
      <c r="D173" s="4"/>
      <c r="E173" s="6"/>
      <c r="F173" s="5"/>
      <c r="G173" s="4"/>
    </row>
    <row r="174">
      <c r="A174" s="6"/>
      <c r="B174" s="4"/>
      <c r="C174" s="4"/>
      <c r="D174" s="4"/>
      <c r="E174" s="6"/>
      <c r="F174" s="5"/>
      <c r="G174" s="4"/>
    </row>
    <row r="175">
      <c r="A175" s="6"/>
      <c r="B175" s="4"/>
      <c r="C175" s="4"/>
      <c r="D175" s="4"/>
      <c r="E175" s="6"/>
      <c r="F175" s="5"/>
      <c r="G175" s="4"/>
    </row>
    <row r="176">
      <c r="A176" s="6"/>
      <c r="B176" s="4"/>
      <c r="C176" s="4"/>
      <c r="D176" s="4"/>
      <c r="E176" s="6"/>
      <c r="F176" s="5"/>
      <c r="G176" s="4"/>
    </row>
    <row r="177">
      <c r="A177" s="6"/>
      <c r="B177" s="4"/>
      <c r="C177" s="4"/>
      <c r="D177" s="4"/>
      <c r="E177" s="6"/>
      <c r="F177" s="5"/>
      <c r="G177" s="4"/>
    </row>
    <row r="178">
      <c r="A178" s="6"/>
      <c r="B178" s="4"/>
      <c r="C178" s="4"/>
      <c r="D178" s="4"/>
      <c r="E178" s="6"/>
      <c r="F178" s="5"/>
      <c r="G178" s="4"/>
    </row>
    <row r="179">
      <c r="A179" s="6"/>
      <c r="B179" s="4"/>
      <c r="C179" s="4"/>
      <c r="D179" s="4"/>
      <c r="E179" s="6"/>
      <c r="F179" s="5"/>
      <c r="G179" s="4"/>
    </row>
    <row r="180">
      <c r="A180" s="6"/>
      <c r="B180" s="4"/>
      <c r="C180" s="4"/>
      <c r="D180" s="4"/>
      <c r="E180" s="6"/>
      <c r="F180" s="5"/>
      <c r="G180" s="4"/>
    </row>
    <row r="181">
      <c r="A181" s="6"/>
      <c r="B181" s="4"/>
      <c r="C181" s="4"/>
      <c r="D181" s="4"/>
      <c r="E181" s="6"/>
      <c r="F181" s="5"/>
      <c r="G181" s="4"/>
    </row>
    <row r="182">
      <c r="A182" s="6"/>
      <c r="B182" s="4"/>
      <c r="C182" s="4"/>
      <c r="D182" s="4"/>
      <c r="E182" s="6"/>
      <c r="F182" s="5"/>
      <c r="G182" s="4"/>
    </row>
    <row r="183">
      <c r="A183" s="6"/>
      <c r="B183" s="4"/>
      <c r="C183" s="4"/>
      <c r="D183" s="4"/>
      <c r="E183" s="6"/>
      <c r="F183" s="5"/>
      <c r="G183" s="4"/>
    </row>
    <row r="184">
      <c r="A184" s="6"/>
      <c r="B184" s="4"/>
      <c r="C184" s="4"/>
      <c r="D184" s="4"/>
      <c r="E184" s="6"/>
      <c r="F184" s="5"/>
      <c r="G184" s="4"/>
    </row>
    <row r="185">
      <c r="A185" s="6"/>
      <c r="B185" s="4"/>
      <c r="C185" s="4"/>
      <c r="D185" s="4"/>
      <c r="E185" s="6"/>
      <c r="F185" s="5"/>
      <c r="G185" s="4"/>
    </row>
    <row r="186">
      <c r="A186" s="6"/>
      <c r="B186" s="4"/>
      <c r="C186" s="4"/>
      <c r="D186" s="4"/>
      <c r="E186" s="6"/>
      <c r="F186" s="5"/>
      <c r="G186" s="4"/>
    </row>
    <row r="187">
      <c r="A187" s="6"/>
      <c r="B187" s="4"/>
      <c r="C187" s="4"/>
      <c r="D187" s="4"/>
      <c r="E187" s="6"/>
      <c r="F187" s="5"/>
      <c r="G187" s="4"/>
    </row>
    <row r="188">
      <c r="A188" s="6"/>
      <c r="B188" s="4"/>
      <c r="C188" s="4"/>
      <c r="D188" s="4"/>
      <c r="E188" s="6"/>
      <c r="F188" s="5"/>
      <c r="G188" s="4"/>
    </row>
    <row r="189">
      <c r="A189" s="6"/>
      <c r="B189" s="4"/>
      <c r="C189" s="4"/>
      <c r="D189" s="4"/>
      <c r="E189" s="6"/>
      <c r="F189" s="5"/>
      <c r="G189" s="4"/>
    </row>
    <row r="190">
      <c r="A190" s="6"/>
      <c r="B190" s="4"/>
      <c r="C190" s="4"/>
      <c r="D190" s="4"/>
      <c r="E190" s="6"/>
      <c r="F190" s="5"/>
      <c r="G190" s="4"/>
    </row>
    <row r="191">
      <c r="A191" s="6"/>
      <c r="B191" s="4"/>
      <c r="C191" s="4"/>
      <c r="D191" s="4"/>
      <c r="E191" s="6"/>
      <c r="F191" s="5"/>
      <c r="G191" s="4"/>
    </row>
    <row r="192">
      <c r="A192" s="6"/>
      <c r="B192" s="4"/>
      <c r="C192" s="4"/>
      <c r="D192" s="4"/>
      <c r="E192" s="6"/>
      <c r="F192" s="5"/>
      <c r="G192" s="4"/>
    </row>
    <row r="193">
      <c r="A193" s="6"/>
      <c r="B193" s="4"/>
      <c r="C193" s="4"/>
      <c r="D193" s="4"/>
      <c r="E193" s="6"/>
      <c r="F193" s="5"/>
      <c r="G193" s="4"/>
    </row>
    <row r="194">
      <c r="A194" s="6"/>
      <c r="B194" s="4"/>
      <c r="C194" s="4"/>
      <c r="D194" s="4"/>
      <c r="E194" s="6"/>
      <c r="F194" s="5"/>
      <c r="G194" s="4"/>
    </row>
    <row r="195">
      <c r="A195" s="6"/>
      <c r="B195" s="4"/>
      <c r="C195" s="4"/>
      <c r="D195" s="4"/>
      <c r="E195" s="6"/>
      <c r="F195" s="5"/>
      <c r="G195" s="4"/>
    </row>
    <row r="196">
      <c r="A196" s="6"/>
      <c r="B196" s="4"/>
      <c r="C196" s="4"/>
      <c r="D196" s="4"/>
      <c r="E196" s="6"/>
      <c r="F196" s="5"/>
      <c r="G196" s="4"/>
    </row>
    <row r="197">
      <c r="A197" s="6"/>
      <c r="B197" s="4"/>
      <c r="C197" s="4"/>
      <c r="D197" s="4"/>
      <c r="E197" s="6"/>
      <c r="F197" s="5"/>
      <c r="G197" s="4"/>
    </row>
    <row r="198">
      <c r="A198" s="6"/>
      <c r="B198" s="4"/>
      <c r="C198" s="4"/>
      <c r="D198" s="4"/>
      <c r="E198" s="6"/>
      <c r="F198" s="5"/>
      <c r="G198" s="4"/>
    </row>
    <row r="199">
      <c r="A199" s="6"/>
      <c r="B199" s="4"/>
      <c r="C199" s="4"/>
      <c r="D199" s="4"/>
      <c r="E199" s="6"/>
      <c r="F199" s="5"/>
      <c r="G199" s="4"/>
    </row>
    <row r="200">
      <c r="A200" s="6"/>
      <c r="B200" s="4"/>
      <c r="C200" s="4"/>
      <c r="D200" s="4"/>
      <c r="E200" s="6"/>
      <c r="F200" s="5"/>
      <c r="G200" s="4"/>
    </row>
    <row r="201">
      <c r="A201" s="6"/>
      <c r="B201" s="4"/>
      <c r="C201" s="4"/>
      <c r="D201" s="4"/>
      <c r="E201" s="6"/>
      <c r="F201" s="5"/>
      <c r="G201" s="4"/>
    </row>
    <row r="202">
      <c r="A202" s="6"/>
      <c r="B202" s="4"/>
      <c r="C202" s="4"/>
      <c r="D202" s="4"/>
      <c r="E202" s="6"/>
      <c r="F202" s="5"/>
      <c r="G202" s="4"/>
    </row>
    <row r="203">
      <c r="A203" s="6"/>
      <c r="B203" s="4"/>
      <c r="C203" s="4"/>
      <c r="D203" s="4"/>
      <c r="E203" s="6"/>
      <c r="F203" s="5"/>
      <c r="G203" s="4"/>
    </row>
    <row r="204">
      <c r="A204" s="6"/>
      <c r="B204" s="4"/>
      <c r="C204" s="4"/>
      <c r="D204" s="4"/>
      <c r="E204" s="6"/>
      <c r="F204" s="5"/>
      <c r="G204" s="4"/>
    </row>
    <row r="205">
      <c r="A205" s="6"/>
      <c r="B205" s="4"/>
      <c r="C205" s="4"/>
      <c r="D205" s="4"/>
      <c r="E205" s="6"/>
      <c r="F205" s="5"/>
      <c r="G205" s="4"/>
    </row>
    <row r="206">
      <c r="A206" s="6"/>
      <c r="B206" s="4"/>
      <c r="C206" s="4"/>
      <c r="D206" s="4"/>
      <c r="E206" s="6"/>
      <c r="F206" s="5"/>
      <c r="G206" s="4"/>
    </row>
    <row r="207">
      <c r="A207" s="6"/>
      <c r="B207" s="4"/>
      <c r="C207" s="4"/>
      <c r="D207" s="4"/>
      <c r="E207" s="6"/>
      <c r="F207" s="5"/>
      <c r="G207" s="4"/>
    </row>
    <row r="208">
      <c r="A208" s="6"/>
      <c r="B208" s="4"/>
      <c r="C208" s="4"/>
      <c r="D208" s="4"/>
      <c r="E208" s="6"/>
      <c r="F208" s="5"/>
      <c r="G208" s="4"/>
    </row>
    <row r="209">
      <c r="A209" s="6"/>
      <c r="B209" s="4"/>
      <c r="C209" s="4"/>
      <c r="D209" s="4"/>
      <c r="E209" s="6"/>
      <c r="F209" s="5"/>
      <c r="G209" s="4"/>
    </row>
    <row r="210">
      <c r="A210" s="6"/>
      <c r="B210" s="4"/>
      <c r="C210" s="4"/>
      <c r="D210" s="4"/>
      <c r="E210" s="6"/>
      <c r="F210" s="5"/>
      <c r="G210" s="4"/>
    </row>
    <row r="211">
      <c r="A211" s="6"/>
      <c r="B211" s="4"/>
      <c r="C211" s="4"/>
      <c r="D211" s="4"/>
      <c r="E211" s="6"/>
      <c r="F211" s="5"/>
      <c r="G211" s="4"/>
    </row>
    <row r="212">
      <c r="A212" s="6"/>
      <c r="B212" s="4"/>
      <c r="C212" s="4"/>
      <c r="D212" s="4"/>
      <c r="E212" s="6"/>
      <c r="F212" s="5"/>
      <c r="G212" s="4"/>
    </row>
    <row r="213">
      <c r="A213" s="6"/>
      <c r="B213" s="4"/>
      <c r="C213" s="4"/>
      <c r="D213" s="4"/>
      <c r="E213" s="6"/>
      <c r="F213" s="5"/>
      <c r="G213" s="4"/>
    </row>
    <row r="214">
      <c r="A214" s="6"/>
      <c r="B214" s="4"/>
      <c r="C214" s="4"/>
      <c r="D214" s="4"/>
      <c r="E214" s="6"/>
      <c r="F214" s="5"/>
      <c r="G214" s="4"/>
    </row>
    <row r="215">
      <c r="A215" s="6"/>
      <c r="B215" s="4"/>
      <c r="C215" s="4"/>
      <c r="D215" s="4"/>
      <c r="E215" s="6"/>
      <c r="F215" s="5"/>
      <c r="G215" s="4"/>
    </row>
    <row r="216">
      <c r="A216" s="6"/>
      <c r="B216" s="4"/>
      <c r="C216" s="4"/>
      <c r="D216" s="4"/>
      <c r="E216" s="6"/>
      <c r="F216" s="5"/>
      <c r="G216" s="4"/>
    </row>
    <row r="217">
      <c r="A217" s="6"/>
      <c r="B217" s="4"/>
      <c r="C217" s="4"/>
      <c r="D217" s="4"/>
      <c r="E217" s="6"/>
      <c r="F217" s="5"/>
      <c r="G217" s="4"/>
    </row>
    <row r="218">
      <c r="A218" s="6"/>
      <c r="B218" s="4"/>
      <c r="C218" s="4"/>
      <c r="D218" s="4"/>
      <c r="E218" s="6"/>
      <c r="F218" s="5"/>
      <c r="G218" s="4"/>
    </row>
    <row r="219">
      <c r="A219" s="6"/>
      <c r="B219" s="4"/>
      <c r="C219" s="4"/>
      <c r="D219" s="4"/>
      <c r="E219" s="6"/>
      <c r="F219" s="5"/>
      <c r="G219" s="4"/>
    </row>
    <row r="220">
      <c r="A220" s="6"/>
      <c r="B220" s="4"/>
      <c r="C220" s="4"/>
      <c r="D220" s="4"/>
      <c r="E220" s="6"/>
      <c r="F220" s="5"/>
      <c r="G220" s="4"/>
    </row>
    <row r="221">
      <c r="A221" s="6"/>
      <c r="B221" s="4"/>
      <c r="C221" s="4"/>
      <c r="D221" s="4"/>
      <c r="E221" s="6"/>
      <c r="F221" s="5"/>
      <c r="G221" s="4"/>
    </row>
    <row r="222">
      <c r="A222" s="6"/>
      <c r="B222" s="4"/>
      <c r="C222" s="4"/>
      <c r="D222" s="4"/>
      <c r="E222" s="6"/>
      <c r="F222" s="5"/>
      <c r="G222" s="4"/>
    </row>
    <row r="223">
      <c r="A223" s="6"/>
      <c r="B223" s="4"/>
      <c r="C223" s="4"/>
      <c r="D223" s="4"/>
      <c r="E223" s="6"/>
      <c r="F223" s="5"/>
      <c r="G223" s="4"/>
    </row>
    <row r="224">
      <c r="A224" s="6"/>
      <c r="B224" s="4"/>
      <c r="C224" s="4"/>
      <c r="D224" s="4"/>
      <c r="E224" s="6"/>
      <c r="F224" s="5"/>
      <c r="G224" s="4"/>
    </row>
    <row r="225">
      <c r="A225" s="6"/>
      <c r="B225" s="4"/>
      <c r="C225" s="4"/>
      <c r="D225" s="4"/>
      <c r="E225" s="6"/>
      <c r="F225" s="5"/>
      <c r="G225" s="4"/>
    </row>
    <row r="226">
      <c r="A226" s="6"/>
      <c r="B226" s="4"/>
      <c r="C226" s="4"/>
      <c r="D226" s="4"/>
      <c r="E226" s="6"/>
      <c r="F226" s="5"/>
      <c r="G226" s="4"/>
    </row>
    <row r="227">
      <c r="A227" s="6"/>
      <c r="B227" s="4"/>
      <c r="C227" s="4"/>
      <c r="D227" s="4"/>
      <c r="E227" s="6"/>
      <c r="F227" s="5"/>
      <c r="G227" s="4"/>
    </row>
    <row r="228">
      <c r="A228" s="6"/>
      <c r="B228" s="4"/>
      <c r="C228" s="4"/>
      <c r="D228" s="4"/>
      <c r="E228" s="6"/>
      <c r="F228" s="5"/>
      <c r="G228" s="4"/>
    </row>
    <row r="229">
      <c r="A229" s="6"/>
      <c r="B229" s="4"/>
      <c r="C229" s="4"/>
      <c r="D229" s="4"/>
      <c r="E229" s="6"/>
      <c r="F229" s="5"/>
      <c r="G229" s="4"/>
    </row>
    <row r="230">
      <c r="A230" s="6"/>
      <c r="B230" s="4"/>
      <c r="C230" s="4"/>
      <c r="D230" s="4"/>
      <c r="E230" s="6"/>
      <c r="F230" s="5"/>
      <c r="G230" s="4"/>
    </row>
    <row r="231">
      <c r="A231" s="6"/>
      <c r="B231" s="4"/>
      <c r="C231" s="4"/>
      <c r="D231" s="4"/>
      <c r="E231" s="6"/>
      <c r="F231" s="5"/>
      <c r="G231" s="4"/>
    </row>
    <row r="232">
      <c r="A232" s="6"/>
      <c r="B232" s="4"/>
      <c r="C232" s="4"/>
      <c r="D232" s="4"/>
      <c r="E232" s="6"/>
      <c r="F232" s="5"/>
      <c r="G232" s="4"/>
    </row>
    <row r="233">
      <c r="A233" s="6"/>
      <c r="B233" s="4"/>
      <c r="C233" s="4"/>
      <c r="D233" s="4"/>
      <c r="E233" s="6"/>
      <c r="F233" s="5"/>
      <c r="G233" s="4"/>
    </row>
    <row r="234">
      <c r="A234" s="6"/>
      <c r="B234" s="4"/>
      <c r="C234" s="4"/>
      <c r="D234" s="4"/>
      <c r="E234" s="6"/>
      <c r="F234" s="5"/>
      <c r="G234" s="4"/>
    </row>
    <row r="235">
      <c r="A235" s="6"/>
      <c r="B235" s="4"/>
      <c r="C235" s="4"/>
      <c r="D235" s="4"/>
      <c r="E235" s="6"/>
      <c r="F235" s="5"/>
      <c r="G235" s="4"/>
    </row>
    <row r="236">
      <c r="A236" s="6"/>
      <c r="B236" s="4"/>
      <c r="C236" s="4"/>
      <c r="D236" s="4"/>
      <c r="E236" s="6"/>
      <c r="F236" s="5"/>
      <c r="G236" s="4"/>
    </row>
    <row r="237">
      <c r="A237" s="6"/>
      <c r="B237" s="4"/>
      <c r="C237" s="4"/>
      <c r="D237" s="4"/>
      <c r="E237" s="6"/>
      <c r="F237" s="5"/>
      <c r="G237" s="4"/>
    </row>
    <row r="238">
      <c r="A238" s="6"/>
      <c r="B238" s="4"/>
      <c r="C238" s="4"/>
      <c r="D238" s="4"/>
      <c r="E238" s="6"/>
      <c r="F238" s="5"/>
      <c r="G238" s="4"/>
    </row>
    <row r="239">
      <c r="A239" s="6"/>
      <c r="B239" s="4"/>
      <c r="C239" s="4"/>
      <c r="D239" s="4"/>
      <c r="E239" s="6"/>
      <c r="F239" s="5"/>
      <c r="G239" s="4"/>
    </row>
    <row r="240">
      <c r="A240" s="6"/>
      <c r="B240" s="4"/>
      <c r="C240" s="4"/>
      <c r="D240" s="4"/>
      <c r="E240" s="6"/>
      <c r="F240" s="5"/>
      <c r="G240" s="4"/>
    </row>
    <row r="241">
      <c r="A241" s="6"/>
      <c r="B241" s="4"/>
      <c r="C241" s="4"/>
      <c r="D241" s="4"/>
      <c r="E241" s="6"/>
      <c r="F241" s="5"/>
      <c r="G241" s="4"/>
    </row>
    <row r="242">
      <c r="A242" s="6"/>
      <c r="B242" s="4"/>
      <c r="C242" s="4"/>
      <c r="D242" s="4"/>
      <c r="E242" s="6"/>
      <c r="F242" s="5"/>
      <c r="G242" s="4"/>
    </row>
    <row r="243">
      <c r="A243" s="6"/>
      <c r="B243" s="4"/>
      <c r="C243" s="4"/>
      <c r="D243" s="4"/>
      <c r="E243" s="6"/>
      <c r="F243" s="5"/>
      <c r="G243" s="4"/>
    </row>
    <row r="244">
      <c r="A244" s="6"/>
      <c r="B244" s="4"/>
      <c r="C244" s="4"/>
      <c r="D244" s="4"/>
      <c r="E244" s="6"/>
      <c r="F244" s="5"/>
      <c r="G244" s="4"/>
    </row>
    <row r="245">
      <c r="A245" s="6"/>
      <c r="B245" s="4"/>
      <c r="C245" s="4"/>
      <c r="D245" s="4"/>
      <c r="E245" s="6"/>
      <c r="F245" s="5"/>
      <c r="G245" s="4"/>
    </row>
    <row r="246">
      <c r="A246" s="6"/>
      <c r="B246" s="4"/>
      <c r="C246" s="4"/>
      <c r="D246" s="4"/>
      <c r="E246" s="6"/>
      <c r="F246" s="5"/>
      <c r="G246" s="4"/>
    </row>
    <row r="247">
      <c r="A247" s="6"/>
      <c r="B247" s="4"/>
      <c r="C247" s="4"/>
      <c r="D247" s="4"/>
      <c r="E247" s="6"/>
      <c r="F247" s="5"/>
      <c r="G247" s="4"/>
    </row>
    <row r="248">
      <c r="A248" s="6"/>
      <c r="B248" s="4"/>
      <c r="C248" s="4"/>
      <c r="D248" s="4"/>
      <c r="E248" s="6"/>
      <c r="F248" s="5"/>
      <c r="G248" s="4"/>
    </row>
    <row r="249">
      <c r="A249" s="6"/>
      <c r="B249" s="4"/>
      <c r="C249" s="4"/>
      <c r="D249" s="4"/>
      <c r="E249" s="6"/>
      <c r="F249" s="5"/>
      <c r="G249" s="4"/>
    </row>
    <row r="250">
      <c r="A250" s="6"/>
      <c r="B250" s="4"/>
      <c r="C250" s="4"/>
      <c r="D250" s="4"/>
      <c r="E250" s="6"/>
      <c r="F250" s="5"/>
      <c r="G250" s="4"/>
    </row>
    <row r="251">
      <c r="A251" s="6"/>
      <c r="B251" s="4"/>
      <c r="C251" s="4"/>
      <c r="D251" s="4"/>
      <c r="E251" s="6"/>
      <c r="F251" s="5"/>
      <c r="G251" s="4"/>
    </row>
    <row r="252">
      <c r="A252" s="6"/>
      <c r="B252" s="4"/>
      <c r="C252" s="4"/>
      <c r="D252" s="4"/>
      <c r="E252" s="6"/>
      <c r="F252" s="5"/>
      <c r="G252" s="4"/>
    </row>
    <row r="253">
      <c r="A253" s="6"/>
      <c r="B253" s="4"/>
      <c r="C253" s="4"/>
      <c r="D253" s="4"/>
      <c r="E253" s="6"/>
      <c r="F253" s="5"/>
      <c r="G253" s="4"/>
    </row>
    <row r="254">
      <c r="A254" s="6"/>
      <c r="B254" s="4"/>
      <c r="C254" s="4"/>
      <c r="D254" s="4"/>
      <c r="E254" s="6"/>
      <c r="F254" s="5"/>
      <c r="G254" s="4"/>
    </row>
    <row r="255">
      <c r="A255" s="6"/>
      <c r="B255" s="4"/>
      <c r="C255" s="4"/>
      <c r="D255" s="4"/>
      <c r="E255" s="6"/>
      <c r="F255" s="5"/>
      <c r="G255" s="4"/>
    </row>
    <row r="256">
      <c r="A256" s="6"/>
      <c r="B256" s="4"/>
      <c r="C256" s="4"/>
      <c r="D256" s="4"/>
      <c r="E256" s="6"/>
      <c r="F256" s="5"/>
      <c r="G256" s="4"/>
    </row>
    <row r="257">
      <c r="A257" s="6"/>
      <c r="B257" s="4"/>
      <c r="C257" s="4"/>
      <c r="D257" s="4"/>
      <c r="E257" s="6"/>
      <c r="F257" s="5"/>
      <c r="G257" s="4"/>
    </row>
    <row r="258">
      <c r="A258" s="6"/>
      <c r="B258" s="4"/>
      <c r="C258" s="4"/>
      <c r="D258" s="4"/>
      <c r="E258" s="6"/>
      <c r="F258" s="5"/>
      <c r="G258" s="4"/>
    </row>
    <row r="259">
      <c r="A259" s="6"/>
      <c r="B259" s="4"/>
      <c r="C259" s="4"/>
      <c r="D259" s="4"/>
      <c r="E259" s="6"/>
      <c r="F259" s="5"/>
      <c r="G259" s="4"/>
    </row>
    <row r="260">
      <c r="A260" s="6"/>
      <c r="B260" s="4"/>
      <c r="C260" s="4"/>
      <c r="D260" s="4"/>
      <c r="E260" s="6"/>
      <c r="F260" s="5"/>
      <c r="G260" s="4"/>
    </row>
    <row r="261">
      <c r="A261" s="6"/>
      <c r="B261" s="4"/>
      <c r="C261" s="4"/>
      <c r="D261" s="4"/>
      <c r="E261" s="6"/>
      <c r="F261" s="5"/>
      <c r="G261" s="4"/>
    </row>
    <row r="262">
      <c r="A262" s="6"/>
      <c r="B262" s="4"/>
      <c r="C262" s="4"/>
      <c r="D262" s="4"/>
      <c r="E262" s="6"/>
      <c r="F262" s="5"/>
      <c r="G262" s="4"/>
    </row>
    <row r="263">
      <c r="A263" s="6"/>
      <c r="B263" s="4"/>
      <c r="C263" s="4"/>
      <c r="D263" s="4"/>
      <c r="E263" s="6"/>
      <c r="F263" s="5"/>
      <c r="G263" s="4"/>
    </row>
    <row r="264">
      <c r="A264" s="6"/>
      <c r="B264" s="4"/>
      <c r="C264" s="4"/>
      <c r="D264" s="4"/>
      <c r="E264" s="6"/>
      <c r="F264" s="5"/>
      <c r="G264" s="4"/>
    </row>
    <row r="265">
      <c r="A265" s="6"/>
      <c r="B265" s="4"/>
      <c r="C265" s="4"/>
      <c r="D265" s="4"/>
      <c r="E265" s="6"/>
      <c r="F265" s="5"/>
      <c r="G265" s="4"/>
    </row>
    <row r="266">
      <c r="A266" s="6"/>
      <c r="B266" s="4"/>
      <c r="C266" s="4"/>
      <c r="D266" s="4"/>
      <c r="E266" s="6"/>
      <c r="F266" s="5"/>
      <c r="G266" s="4"/>
    </row>
    <row r="267">
      <c r="A267" s="6"/>
      <c r="B267" s="4"/>
      <c r="C267" s="4"/>
      <c r="D267" s="4"/>
      <c r="E267" s="6"/>
      <c r="F267" s="5"/>
      <c r="G267" s="4"/>
    </row>
    <row r="268">
      <c r="A268" s="6"/>
      <c r="B268" s="4"/>
      <c r="C268" s="4"/>
      <c r="D268" s="4"/>
      <c r="E268" s="6"/>
      <c r="F268" s="5"/>
      <c r="G268" s="4"/>
    </row>
    <row r="269">
      <c r="A269" s="6"/>
      <c r="B269" s="4"/>
      <c r="C269" s="4"/>
      <c r="D269" s="4"/>
      <c r="E269" s="6"/>
      <c r="F269" s="5"/>
      <c r="G269" s="4"/>
    </row>
    <row r="270">
      <c r="A270" s="6"/>
      <c r="B270" s="4"/>
      <c r="C270" s="4"/>
      <c r="D270" s="4"/>
      <c r="E270" s="6"/>
      <c r="F270" s="5"/>
      <c r="G270" s="4"/>
    </row>
    <row r="271">
      <c r="A271" s="6"/>
      <c r="B271" s="4"/>
      <c r="C271" s="4"/>
      <c r="D271" s="4"/>
      <c r="E271" s="6"/>
      <c r="F271" s="5"/>
      <c r="G271" s="4"/>
    </row>
    <row r="272">
      <c r="A272" s="6"/>
      <c r="B272" s="4"/>
      <c r="C272" s="4"/>
      <c r="D272" s="4"/>
      <c r="E272" s="6"/>
      <c r="F272" s="5"/>
      <c r="G272" s="4"/>
    </row>
    <row r="273">
      <c r="A273" s="6"/>
      <c r="B273" s="4"/>
      <c r="C273" s="4"/>
      <c r="D273" s="4"/>
      <c r="E273" s="6"/>
      <c r="F273" s="5"/>
      <c r="G273" s="4"/>
    </row>
    <row r="274">
      <c r="A274" s="6"/>
      <c r="B274" s="4"/>
      <c r="C274" s="4"/>
      <c r="D274" s="4"/>
      <c r="E274" s="6"/>
      <c r="F274" s="5"/>
      <c r="G274" s="4"/>
    </row>
    <row r="275">
      <c r="A275" s="6"/>
      <c r="B275" s="4"/>
      <c r="C275" s="4"/>
      <c r="D275" s="4"/>
      <c r="E275" s="6"/>
      <c r="F275" s="5"/>
      <c r="G275" s="4"/>
    </row>
    <row r="276">
      <c r="A276" s="6"/>
      <c r="B276" s="4"/>
      <c r="C276" s="4"/>
      <c r="D276" s="4"/>
      <c r="E276" s="6"/>
      <c r="F276" s="5"/>
      <c r="G276" s="4"/>
    </row>
    <row r="277">
      <c r="A277" s="6"/>
      <c r="B277" s="4"/>
      <c r="C277" s="4"/>
      <c r="D277" s="4"/>
      <c r="E277" s="6"/>
      <c r="F277" s="5"/>
      <c r="G277" s="4"/>
    </row>
    <row r="278">
      <c r="A278" s="6"/>
      <c r="B278" s="4"/>
      <c r="C278" s="4"/>
      <c r="D278" s="4"/>
      <c r="E278" s="6"/>
      <c r="F278" s="5"/>
      <c r="G278" s="4"/>
    </row>
    <row r="279">
      <c r="A279" s="6"/>
      <c r="B279" s="4"/>
      <c r="C279" s="4"/>
      <c r="D279" s="4"/>
      <c r="E279" s="6"/>
      <c r="F279" s="5"/>
      <c r="G279" s="4"/>
    </row>
    <row r="280">
      <c r="A280" s="6"/>
      <c r="B280" s="4"/>
      <c r="C280" s="4"/>
      <c r="D280" s="4"/>
      <c r="E280" s="6"/>
      <c r="F280" s="5"/>
      <c r="G280" s="4"/>
    </row>
    <row r="281">
      <c r="A281" s="6"/>
      <c r="B281" s="4"/>
      <c r="C281" s="4"/>
      <c r="D281" s="4"/>
      <c r="E281" s="6"/>
      <c r="F281" s="5"/>
      <c r="G281" s="4"/>
    </row>
    <row r="282">
      <c r="A282" s="6"/>
      <c r="B282" s="4"/>
      <c r="C282" s="4"/>
      <c r="D282" s="4"/>
      <c r="E282" s="6"/>
      <c r="F282" s="5"/>
      <c r="G282" s="4"/>
    </row>
    <row r="283">
      <c r="A283" s="6"/>
      <c r="B283" s="4"/>
      <c r="C283" s="4"/>
      <c r="D283" s="4"/>
      <c r="E283" s="6"/>
      <c r="F283" s="5"/>
      <c r="G283" s="4"/>
    </row>
    <row r="284">
      <c r="A284" s="6"/>
      <c r="B284" s="4"/>
      <c r="C284" s="4"/>
      <c r="D284" s="4"/>
      <c r="E284" s="6"/>
      <c r="F284" s="5"/>
      <c r="G284" s="4"/>
    </row>
    <row r="285">
      <c r="A285" s="6"/>
      <c r="B285" s="4"/>
      <c r="C285" s="4"/>
      <c r="D285" s="4"/>
      <c r="E285" s="6"/>
      <c r="F285" s="5"/>
      <c r="G285" s="4"/>
    </row>
    <row r="286">
      <c r="A286" s="6"/>
      <c r="B286" s="4"/>
      <c r="C286" s="4"/>
      <c r="D286" s="4"/>
      <c r="E286" s="6"/>
      <c r="F286" s="5"/>
      <c r="G286" s="4"/>
    </row>
    <row r="287">
      <c r="A287" s="6"/>
      <c r="B287" s="4"/>
      <c r="C287" s="4"/>
      <c r="D287" s="4"/>
      <c r="E287" s="6"/>
      <c r="F287" s="5"/>
      <c r="G287" s="4"/>
    </row>
    <row r="288">
      <c r="A288" s="6"/>
      <c r="B288" s="4"/>
      <c r="C288" s="4"/>
      <c r="D288" s="4"/>
      <c r="E288" s="6"/>
      <c r="F288" s="5"/>
      <c r="G288" s="4"/>
    </row>
    <row r="289">
      <c r="A289" s="6"/>
      <c r="B289" s="4"/>
      <c r="C289" s="4"/>
      <c r="D289" s="4"/>
      <c r="E289" s="6"/>
      <c r="F289" s="5"/>
      <c r="G289" s="4"/>
    </row>
    <row r="290">
      <c r="A290" s="6"/>
      <c r="B290" s="4"/>
      <c r="C290" s="4"/>
      <c r="D290" s="4"/>
      <c r="E290" s="6"/>
      <c r="F290" s="5"/>
      <c r="G290" s="4"/>
    </row>
    <row r="291">
      <c r="A291" s="6"/>
      <c r="B291" s="4"/>
      <c r="C291" s="4"/>
      <c r="D291" s="4"/>
      <c r="E291" s="6"/>
      <c r="F291" s="5"/>
      <c r="G291" s="4"/>
    </row>
    <row r="292">
      <c r="A292" s="6"/>
      <c r="B292" s="4"/>
      <c r="C292" s="4"/>
      <c r="D292" s="4"/>
      <c r="E292" s="6"/>
      <c r="F292" s="5"/>
      <c r="G292" s="4"/>
    </row>
    <row r="293">
      <c r="A293" s="6"/>
      <c r="B293" s="4"/>
      <c r="C293" s="4"/>
      <c r="D293" s="4"/>
      <c r="E293" s="6"/>
      <c r="F293" s="5"/>
      <c r="G293" s="4"/>
    </row>
    <row r="294">
      <c r="A294" s="6"/>
      <c r="B294" s="4"/>
      <c r="C294" s="4"/>
      <c r="D294" s="4"/>
      <c r="E294" s="6"/>
      <c r="F294" s="5"/>
      <c r="G294" s="4"/>
    </row>
    <row r="295">
      <c r="A295" s="6"/>
      <c r="B295" s="4"/>
      <c r="C295" s="4"/>
      <c r="D295" s="4"/>
      <c r="E295" s="6"/>
      <c r="F295" s="5"/>
      <c r="G295" s="4"/>
    </row>
    <row r="296">
      <c r="A296" s="6"/>
      <c r="B296" s="4"/>
      <c r="C296" s="4"/>
      <c r="D296" s="4"/>
      <c r="E296" s="6"/>
      <c r="F296" s="5"/>
      <c r="G296" s="4"/>
    </row>
    <row r="297">
      <c r="A297" s="6"/>
      <c r="B297" s="4"/>
      <c r="C297" s="4"/>
      <c r="D297" s="4"/>
      <c r="E297" s="6"/>
      <c r="F297" s="5"/>
      <c r="G297" s="4"/>
    </row>
    <row r="298">
      <c r="A298" s="6"/>
      <c r="B298" s="4"/>
      <c r="C298" s="4"/>
      <c r="D298" s="4"/>
      <c r="E298" s="6"/>
      <c r="F298" s="5"/>
      <c r="G298" s="4"/>
    </row>
    <row r="299">
      <c r="A299" s="6"/>
      <c r="B299" s="4"/>
      <c r="C299" s="4"/>
      <c r="D299" s="4"/>
      <c r="E299" s="6"/>
      <c r="F299" s="5"/>
      <c r="G299" s="4"/>
    </row>
    <row r="300">
      <c r="A300" s="6"/>
      <c r="B300" s="4"/>
      <c r="C300" s="4"/>
      <c r="D300" s="4"/>
      <c r="E300" s="6"/>
      <c r="F300" s="5"/>
      <c r="G300" s="4"/>
    </row>
  </sheetData>
  <autoFilter ref="A4:G300"/>
  <mergeCells count="2">
    <mergeCell ref="A1:G1"/>
    <mergeCell ref="A2:G2"/>
  </mergeCells>
  <dataValidations count="1">
    <dataValidation type="decimal" operator="greaterThanOrEqual" allowBlank="1" showErrorMessage="1" sqref="F5:F300">
      <formula1>0</formula1>
    </dataValidation>
  </dataValidations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7" customWidth="1"/>
    <col min="2" max="2" width="42" customWidth="1"/>
    <col min="3" max="3" width="24" customWidth="1"/>
  </cols>
  <sheetData>
    <row r="1" ht="28" customHeight="1">
      <c r="A1" t="inlineStr" s="1">
        <is>
          <t>設定與填寫流程</t>
        </is>
      </c>
    </row>
    <row r="2">
      <c r="A2" t="inlineStr" s="9">
        <is>
          <t>本期月份</t>
        </is>
      </c>
      <c r="B2" s="6">
        <v>46023</v>
      </c>
    </row>
    <row r="4">
      <c r="A4" t="inlineStr" s="9">
        <is>
          <t>每月操作</t>
        </is>
      </c>
    </row>
    <row r="5">
      <c r="A5" t="inlineStr" s="8">
        <is>
          <t>1. 打開檔案後，在本頁 B2 設定本期月份，例如 2026-01。</t>
        </is>
      </c>
    </row>
    <row r="6">
      <c r="A6" t="inlineStr" s="8">
        <is>
          <t>2. 業務填 Forecast 工作表中各產品的「實銷」與「當月出貨預測」兩列，黃色底色為需填寫區。</t>
        </is>
      </c>
    </row>
    <row r="7">
      <c r="A7" t="inlineStr" s="8">
        <is>
          <t>3. 當月實際出貨填公司出貨數，實銷填客戶倉庫實際賣出數；達成率與準確率會自動計算。</t>
        </is>
      </c>
    </row>
    <row r="8">
      <c r="A8" t="inlineStr" s="8">
        <is>
          <t>4. 月結或開下個月前，將本月「當月出貨預測」整理貼到 Forecast_History，版本月份填本期月份。</t>
        </is>
      </c>
    </row>
    <row r="9">
      <c r="A9" t="inlineStr" s="8">
        <is>
          <t>5. 下個月把 B2 改成新月份後，Forecast 的 N-1預估會自動抓上個月版本的同產品、同預估月份數字。</t>
        </is>
      </c>
    </row>
    <row r="10">
      <c r="A10" t="inlineStr" s="8">
        <is>
          <t>6. Inventory_Planning 採用原進銷存格式，FCST 先放原進銷存每月預估出貨；訂貨以板為單位，Stock 依出貨需求與訂貨板數自動滾動。</t>
        </is>
      </c>
    </row>
    <row r="12">
      <c r="A12" t="inlineStr" s="9">
        <is>
          <t>目前產品清單</t>
        </is>
      </c>
    </row>
    <row r="13">
      <c r="A13" t="inlineStr" s="3">
        <is>
          <t>國際條碼</t>
        </is>
      </c>
      <c r="B13" t="inlineStr" s="3">
        <is>
          <t>產品名稱(EN)</t>
        </is>
      </c>
      <c r="C13" t="inlineStr" s="3">
        <is>
          <t>產品名稱(CN)</t>
        </is>
      </c>
    </row>
    <row r="14">
      <c r="A14" t="inlineStr" s="4">
        <is>
          <t>8697343116899</t>
        </is>
      </c>
      <c r="B14" t="inlineStr" s="4">
        <is>
          <t>FEAST IQF CHURROS CUT POTATO 10x1 kg</t>
        </is>
      </c>
      <c r="C14" t="inlineStr" s="4">
        <is>
          <t>FEAST 香脆切薯條</t>
        </is>
      </c>
    </row>
    <row r="15">
      <c r="A15" t="inlineStr" s="4">
        <is>
          <t>8697343600022</t>
        </is>
      </c>
      <c r="B15" t="inlineStr" s="4">
        <is>
          <t>FEAST IQF WEDGE POTATO 10x1 kg</t>
        </is>
      </c>
      <c r="C15" t="inlineStr" s="4">
        <is>
          <t>FEAST 楔型薯塊</t>
        </is>
      </c>
    </row>
    <row r="16">
      <c r="A16" t="inlineStr" s="4">
        <is>
          <t>8697343464225</t>
        </is>
      </c>
      <c r="B16" t="inlineStr" s="4">
        <is>
          <t>FEAST IQF FRENCH FRIES 10*10 mm 10x1 kg</t>
        </is>
      </c>
      <c r="C16" t="inlineStr" s="4">
        <is>
          <t>FEAST 10*10mm 薯條</t>
        </is>
      </c>
    </row>
    <row r="17">
      <c r="A17" t="inlineStr" s="4">
        <is>
          <t>8697343600039</t>
        </is>
      </c>
      <c r="B17" t="inlineStr" s="4">
        <is>
          <t>FEAST IQF FRENCH FRIES 7*7 mm 10x1 kg</t>
        </is>
      </c>
      <c r="C17" t="inlineStr" s="4">
        <is>
          <t>FEAST 7*7mm 薯條</t>
        </is>
      </c>
    </row>
    <row r="18">
      <c r="A18" t="inlineStr" s="4">
        <is>
          <t>8697343650027</t>
        </is>
      </c>
      <c r="B18" t="inlineStr" s="4">
        <is>
          <t>FEAST IQF ONION RINGS 12*450 GR</t>
        </is>
      </c>
      <c r="C18" t="inlineStr" s="4">
        <is>
          <t>洋蔥圈</t>
        </is>
      </c>
    </row>
    <row r="19">
      <c r="A19" t="inlineStr" s="4">
        <is>
          <t>8697343550129</t>
        </is>
      </c>
      <c r="B19" t="inlineStr" s="4">
        <is>
          <t>FEAST IQF BROCCOLI 12*500 g</t>
        </is>
      </c>
      <c r="C19" t="inlineStr" s="4">
        <is>
          <t>急凍青花菜</t>
        </is>
      </c>
    </row>
    <row r="20">
      <c r="A20" t="inlineStr" s="4">
        <is>
          <t>8697343500200</t>
        </is>
      </c>
      <c r="B20" t="inlineStr" s="4">
        <is>
          <t>FEAST IQF GREEN BEANS 16*450 GR</t>
        </is>
      </c>
      <c r="C20" t="inlineStr" s="4">
        <is>
          <t>急凍四季豆</t>
        </is>
      </c>
    </row>
    <row r="21">
      <c r="A21" t="inlineStr" s="4">
        <is>
          <t>8697343550013</t>
        </is>
      </c>
      <c r="B21" t="inlineStr" s="4">
        <is>
          <t>FEAST IQF GREEN PEAS</t>
        </is>
      </c>
      <c r="C21" t="inlineStr" s="4">
        <is>
          <t>急速冷凍豌豆</t>
        </is>
      </c>
    </row>
    <row r="22">
      <c r="A22" s="4"/>
      <c r="B22" t="inlineStr" s="4">
        <is>
          <t>FEAST IQF SPINACH 12*450 GR</t>
        </is>
      </c>
      <c r="C22" t="inlineStr" s="4">
        <is>
          <t>急速冷凍菠菜</t>
        </is>
      </c>
    </row>
  </sheetData>
  <mergeCells count="3">
    <mergeCell ref="A1:C1"/>
    <mergeCell ref="A4:C4"/>
    <mergeCell ref="A12:C1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6" ySplit="5" topLeftCell="G6" activePane="bottomRight" state="frozen"/>
      <selection pane="bottomRight" activeCell="G6" sqref="G6"/>
    </sheetView>
  </sheetViews>
  <cols>
    <col min="1" max="1" width="17" customWidth="1"/>
    <col min="2" max="2" width="42" customWidth="1"/>
    <col min="3" max="3" width="24" customWidth="1"/>
    <col min="4" max="4" width="10" customWidth="1"/>
    <col min="5" max="5" width="22" customWidth="1"/>
    <col min="6" max="6" width="15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</cols>
  <sheetData>
    <row r="1" ht="28" customHeight="1">
      <c r="A1" t="inlineStr" s="1">
        <is>
          <t>第二階段：進銷存與國際採購時程</t>
        </is>
      </c>
    </row>
    <row r="2">
      <c r="A2" t="inlineStr" s="2">
        <is>
          <t>採用原進銷存橫式格式：FCST/出貨需求先放原進銷存每月預估出貨，訂貨板數以板為單位。Stock = 前月底庫存 - 出貨需求 + 訂貨板數 × CTN/板。</t>
        </is>
      </c>
    </row>
    <row r="4">
      <c r="A4" t="inlineStr" s="9">
        <is>
          <t>本期月份</t>
        </is>
      </c>
      <c r="B4" s="7">
        <f>Settings!$B$2</f>
      </c>
      <c r="C4" t="inlineStr" s="9">
        <is>
          <t>需求與庫存單位：箱；訂貨單位：板</t>
        </is>
      </c>
    </row>
    <row r="5">
      <c r="A5" t="inlineStr" s="3">
        <is>
          <t>國際條碼</t>
        </is>
      </c>
      <c r="B5" t="inlineStr" s="3">
        <is>
          <t>產品名稱(EN)</t>
        </is>
      </c>
      <c r="C5" t="inlineStr" s="3">
        <is>
          <t>產品名稱(CN)</t>
        </is>
      </c>
      <c r="D5" t="inlineStr" s="3">
        <is>
          <t>CTN/板</t>
        </is>
      </c>
      <c r="E5" t="inlineStr" s="3">
        <is>
          <t>項目</t>
        </is>
      </c>
      <c r="F5" t="inlineStr" s="3">
        <is>
          <t>2026-05月底庫存</t>
        </is>
      </c>
      <c r="G5" s="6">
        <v>46174</v>
      </c>
      <c r="H5" s="6">
        <v>46204</v>
      </c>
      <c r="I5" s="6">
        <v>46235</v>
      </c>
      <c r="J5" s="6">
        <v>46266</v>
      </c>
      <c r="K5" s="6">
        <v>46296</v>
      </c>
      <c r="L5" s="6">
        <v>46327</v>
      </c>
      <c r="M5" s="6">
        <v>46357</v>
      </c>
      <c r="N5" s="6">
        <v>46388</v>
      </c>
      <c r="O5" s="6">
        <v>46419</v>
      </c>
      <c r="P5" s="6">
        <v>46447</v>
      </c>
      <c r="Q5" s="6">
        <v>46478</v>
      </c>
      <c r="R5" s="6">
        <v>46508</v>
      </c>
      <c r="S5" s="6">
        <v>46539</v>
      </c>
      <c r="T5" s="6">
        <v>46569</v>
      </c>
      <c r="U5" s="6">
        <v>46600</v>
      </c>
      <c r="V5" s="6">
        <v>46631</v>
      </c>
      <c r="W5" s="6">
        <v>46661</v>
      </c>
      <c r="X5" s="6">
        <v>46692</v>
      </c>
      <c r="Y5" s="6">
        <v>46722</v>
      </c>
    </row>
    <row r="6">
      <c r="A6" t="inlineStr" s="11">
        <is>
          <t>8697343116899</t>
        </is>
      </c>
      <c r="B6" t="inlineStr" s="11">
        <is>
          <t>FEAST IQF CHURROS CUT POTATO 10x1 kg</t>
        </is>
      </c>
      <c r="C6" t="inlineStr" s="11">
        <is>
          <t>FEAST 香脆切薯條</t>
        </is>
      </c>
      <c r="D6" s="5">
        <v>56</v>
      </c>
      <c r="E6" t="inlineStr" s="4">
        <is>
          <t>FCST / 出貨需求</t>
        </is>
      </c>
      <c r="F6" s="5"/>
      <c r="G6" s="5">
        <v>10.322033898305085</v>
      </c>
      <c r="H6" s="5">
        <v>10.322033898305085</v>
      </c>
      <c r="I6" s="5">
        <v>11.354237288135613</v>
      </c>
      <c r="J6" s="5">
        <v>9.805932203389846</v>
      </c>
      <c r="K6" s="5">
        <v>11.354237288135613</v>
      </c>
      <c r="L6" s="5">
        <v>9.805932203389846</v>
      </c>
      <c r="M6" s="5">
        <v>11.354237288135613</v>
      </c>
      <c r="N6" s="5">
        <v>10.322033898305085</v>
      </c>
      <c r="O6" s="5">
        <v>10.322033898305085</v>
      </c>
      <c r="P6" s="5">
        <v>10.322033898305085</v>
      </c>
      <c r="Q6" s="5">
        <v>10.322033898305085</v>
      </c>
      <c r="R6" s="5">
        <v>10.322033898305085</v>
      </c>
      <c r="S6" s="5">
        <v>10.322033898305085</v>
      </c>
      <c r="T6" s="5">
        <v>10.322033898305085</v>
      </c>
      <c r="U6" s="5">
        <v>10.322033898305085</v>
      </c>
      <c r="V6" s="5">
        <v>10.322033898305085</v>
      </c>
      <c r="W6" s="5">
        <v>10.322033898305085</v>
      </c>
      <c r="X6" s="5">
        <v>10.322033898305085</v>
      </c>
      <c r="Y6" s="5">
        <v>10.322033898305085</v>
      </c>
    </row>
    <row r="7">
      <c r="A7" s="11"/>
      <c r="B7" s="11"/>
      <c r="C7" s="11"/>
      <c r="D7" s="5"/>
      <c r="E7" t="inlineStr" s="12">
        <is>
          <t>order / 訂貨板數</t>
        </is>
      </c>
      <c r="F7" s="13"/>
      <c r="G7" s="13"/>
      <c r="H7" s="13"/>
      <c r="I7" s="13"/>
      <c r="J7" s="13"/>
      <c r="K7" s="13"/>
      <c r="L7" s="13">
        <v>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1"/>
      <c r="B8" s="11"/>
      <c r="C8" s="11"/>
      <c r="D8" s="5"/>
      <c r="E8" t="inlineStr" s="7">
        <is>
          <t>Stock / 月末庫存</t>
        </is>
      </c>
      <c r="F8" s="7">
        <v>127.67796610169492</v>
      </c>
      <c r="G8" s="7">
        <f>IF(G6="","",$F8-G6+G7*$D6)</f>
        <v>117.35593220338984</v>
      </c>
      <c r="H8" s="7">
        <f>IF(H6="","",G8-H6+H7*$D6)</f>
        <v>107.03389830508476</v>
      </c>
      <c r="I8" s="7">
        <f>IF(I6="","",H8-I6+I7*$D6)</f>
        <v>95.67966101694915</v>
      </c>
      <c r="J8" s="7">
        <f>IF(J6="","",I8-J6+J7*$D6)</f>
        <v>85.87372881355931</v>
      </c>
      <c r="K8" s="7">
        <f>IF(K6="","",J8-K6+K7*$D6)</f>
        <v>74.5194915254237</v>
      </c>
      <c r="L8" s="7">
        <f>IF(L6="","",K8-L6+L7*$D6)</f>
        <v>120.71355932203386</v>
      </c>
      <c r="M8" s="7">
        <f>IF(M6="","",L8-M6+M7*$D6)</f>
        <v>109.35932203389825</v>
      </c>
      <c r="N8" s="7">
        <f>IF(N6="","",M8-N6+N7*$D6)</f>
        <v>99.03728813559317</v>
      </c>
      <c r="O8" s="7">
        <f>IF(O6="","",N8-O6+O7*$D6)</f>
        <v>88.7152542372881</v>
      </c>
      <c r="P8" s="7">
        <f>IF(P6="","",O8-P6+P7*$D6)</f>
        <v>78.39322033898301</v>
      </c>
      <c r="Q8" s="7">
        <f>IF(Q6="","",P8-Q6+Q7*$D6)</f>
        <v>68.07118644067793</v>
      </c>
      <c r="R8" s="7">
        <f>IF(R6="","",Q8-R6+R7*$D6)</f>
        <v>57.74915254237285</v>
      </c>
      <c r="S8" s="7">
        <f>IF(S6="","",R8-S6+S7*$D6)</f>
        <v>47.42711864406776</v>
      </c>
      <c r="T8" s="7">
        <f>IF(T6="","",S8-T6+T7*$D6)</f>
        <v>37.105084745762674</v>
      </c>
      <c r="U8" s="7">
        <f>IF(U6="","",T8-U6+U7*$D6)</f>
        <v>26.783050847457588</v>
      </c>
      <c r="V8" s="7">
        <f>IF(V6="","",U8-V6+V7*$D6)</f>
        <v>16.4610169491525</v>
      </c>
      <c r="W8" s="7">
        <f>IF(W6="","",V8-W6+W7*$D6)</f>
        <v>6.138983050847417</v>
      </c>
      <c r="X8" s="7">
        <f>IF(X6="","",W8-X6+X7*$D6)</f>
        <v>-4.183050847457668</v>
      </c>
      <c r="Y8" s="7">
        <f>IF(Y6="","",X8-Y6+Y7*$D6)</f>
        <v>-14.505084745762753</v>
      </c>
    </row>
    <row r="9">
      <c r="A9" s="11"/>
      <c r="B9" s="11"/>
      <c r="C9" s="11"/>
      <c r="D9" s="5"/>
      <c r="E9" t="inlineStr" s="7">
        <is>
          <t>cover month / 可涵蓋月數</t>
        </is>
      </c>
      <c r="F9" s="7">
        <f>IFERROR(F8/G6,"")</f>
        <v>12.369458128078819</v>
      </c>
      <c r="G9" s="5">
        <f>IFERROR(G8/G6,"")</f>
        <v>11.369458128078819</v>
      </c>
      <c r="H9" s="5">
        <f>IFERROR(H8/H6,"")</f>
        <v>10.369458128078819</v>
      </c>
      <c r="I9" s="5">
        <f>IFERROR(I8/I6,"")</f>
        <v>8.426780116435275</v>
      </c>
      <c r="J9" s="5">
        <f>IFERROR(J8/J6,"")</f>
        <v>8.75732434534611</v>
      </c>
      <c r="K9" s="5">
        <f>IFERROR(K8/K6,"")</f>
        <v>6.563143752798911</v>
      </c>
      <c r="L9" s="5">
        <f>IFERROR(L8/L6,"")</f>
        <v>12.310258404632247</v>
      </c>
      <c r="M9" s="5">
        <f>IFERROR(M8/M6,"")</f>
        <v>9.631586804000577</v>
      </c>
      <c r="N9" s="5">
        <f>IFERROR(N8/N6,"")</f>
        <v>9.594745484400653</v>
      </c>
      <c r="O9" s="5">
        <f>IFERROR(O8/O6,"")</f>
        <v>8.594745484400653</v>
      </c>
      <c r="P9" s="5">
        <f>IFERROR(P8/P6,"")</f>
        <v>7.5947454844006534</v>
      </c>
      <c r="Q9" s="5">
        <f>IFERROR(Q8/Q6,"")</f>
        <v>6.5947454844006534</v>
      </c>
      <c r="R9" s="5">
        <f>IFERROR(R8/R6,"")</f>
        <v>5.5947454844006534</v>
      </c>
      <c r="S9" s="5">
        <f>IFERROR(S8/S6,"")</f>
        <v>4.5947454844006534</v>
      </c>
      <c r="T9" s="5">
        <f>IFERROR(T8/T6,"")</f>
        <v>3.594745484400653</v>
      </c>
      <c r="U9" s="5">
        <f>IFERROR(U8/U6,"")</f>
        <v>2.594745484400653</v>
      </c>
      <c r="V9" s="5">
        <f>IFERROR(V8/V6,"")</f>
        <v>1.5947454844006528</v>
      </c>
      <c r="W9" s="5">
        <f>IFERROR(W8/W6,"")</f>
        <v>0.5947454844006529</v>
      </c>
      <c r="X9" s="5">
        <f>IFERROR(X8/X6,"")</f>
        <v>-0.40525451559934716</v>
      </c>
      <c r="Y9" s="5">
        <f>IFERROR(Y8/Y6,"")</f>
        <v>-1.4052545155993472</v>
      </c>
    </row>
    <row r="10">
      <c r="A10" t="inlineStr" s="11">
        <is>
          <t>8697343600022</t>
        </is>
      </c>
      <c r="B10" t="inlineStr" s="11">
        <is>
          <t>FEAST IQF WEDGE POTATO 10x1 kg</t>
        </is>
      </c>
      <c r="C10" t="inlineStr" s="11">
        <is>
          <t>FEAST 楔型薯塊</t>
        </is>
      </c>
      <c r="D10" s="5">
        <v>80</v>
      </c>
      <c r="E10" t="inlineStr" s="4">
        <is>
          <t>FCST / 出貨需求</t>
        </is>
      </c>
      <c r="F10" s="5"/>
      <c r="G10" s="5">
        <v>21.76271186440678</v>
      </c>
      <c r="H10" s="5">
        <v>23.938983050847483</v>
      </c>
      <c r="I10" s="5">
        <v>20.67457627118646</v>
      </c>
      <c r="J10" s="5">
        <v>23.938983050847483</v>
      </c>
      <c r="K10" s="5">
        <v>20.67457627118646</v>
      </c>
      <c r="L10" s="5">
        <v>23.938983050847483</v>
      </c>
      <c r="M10" s="5">
        <v>21.76271186440678</v>
      </c>
      <c r="N10" s="5">
        <v>21.76271186440678</v>
      </c>
      <c r="O10" s="5">
        <v>21.76271186440678</v>
      </c>
      <c r="P10" s="5">
        <v>21.76271186440678</v>
      </c>
      <c r="Q10" s="5">
        <v>21.76271186440678</v>
      </c>
      <c r="R10" s="5">
        <v>21.76271186440678</v>
      </c>
      <c r="S10" s="5">
        <v>21.76271186440678</v>
      </c>
      <c r="T10" s="5">
        <v>21.76271186440678</v>
      </c>
      <c r="U10" s="5">
        <v>21.76271186440678</v>
      </c>
      <c r="V10" s="5">
        <v>21.76271186440678</v>
      </c>
      <c r="W10" s="5">
        <v>21.76271186440678</v>
      </c>
      <c r="X10" s="5">
        <v>21.76271186440678</v>
      </c>
      <c r="Y10" s="5">
        <v>21.76271186440678</v>
      </c>
    </row>
    <row r="11">
      <c r="A11" s="11"/>
      <c r="B11" s="11"/>
      <c r="C11" s="11"/>
      <c r="D11" s="5"/>
      <c r="E11" t="inlineStr" s="12">
        <is>
          <t>order / 訂貨板數</t>
        </is>
      </c>
      <c r="F11" s="13"/>
      <c r="G11" s="13">
        <v>1</v>
      </c>
      <c r="H11" s="13"/>
      <c r="I11" s="13"/>
      <c r="J11" s="13"/>
      <c r="K11" s="13"/>
      <c r="L11" s="13">
        <v>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1"/>
      <c r="B12" s="11"/>
      <c r="C12" s="11"/>
      <c r="D12" s="5"/>
      <c r="E12" t="inlineStr" s="7">
        <is>
          <t>Stock / 月末庫存</t>
        </is>
      </c>
      <c r="F12" s="7">
        <v>69.83728813559321</v>
      </c>
      <c r="G12" s="7">
        <f>IF(G10="","",$F12-G10+G11*$D10)</f>
        <v>128.07457627118643</v>
      </c>
      <c r="H12" s="7">
        <f>IF(H10="","",G12-H10+H11*$D10)</f>
        <v>104.13559322033895</v>
      </c>
      <c r="I12" s="7">
        <f>IF(I10="","",H12-I10+I11*$D10)</f>
        <v>83.46101694915248</v>
      </c>
      <c r="J12" s="7">
        <f>IF(J10="","",I12-J10+J11*$D10)</f>
        <v>59.522033898305</v>
      </c>
      <c r="K12" s="7">
        <f>IF(K10="","",J12-K10+K11*$D10)</f>
        <v>38.84745762711854</v>
      </c>
      <c r="L12" s="7">
        <f>IF(L10="","",K12-L10+L11*$D10)</f>
        <v>174.90847457627106</v>
      </c>
      <c r="M12" s="7">
        <f>IF(M10="","",L12-M10+M11*$D10)</f>
        <v>153.14576271186428</v>
      </c>
      <c r="N12" s="7">
        <f>IF(N10="","",M12-N10+N11*$D10)</f>
        <v>131.3830508474575</v>
      </c>
      <c r="O12" s="7">
        <f>IF(O10="","",N12-O10+O11*$D10)</f>
        <v>109.62033898305071</v>
      </c>
      <c r="P12" s="7">
        <f>IF(P10="","",O12-P10+P11*$D10)</f>
        <v>87.85762711864393</v>
      </c>
      <c r="Q12" s="7">
        <f>IF(Q10="","",P12-Q10+Q11*$D10)</f>
        <v>66.09491525423715</v>
      </c>
      <c r="R12" s="7">
        <f>IF(R10="","",Q12-R10+R11*$D10)</f>
        <v>44.33220338983037</v>
      </c>
      <c r="S12" s="7">
        <f>IF(S10="","",R12-S10+S11*$D10)</f>
        <v>22.56949152542359</v>
      </c>
      <c r="T12" s="7">
        <f>IF(T10="","",S12-T10+T11*$D10)</f>
        <v>0.8067796610168116</v>
      </c>
      <c r="U12" s="7">
        <f>IF(U10="","",T12-U10+U11*$D10)</f>
        <v>-20.955932203389967</v>
      </c>
      <c r="V12" s="7">
        <f>IF(V10="","",U12-V10+V11*$D10)</f>
        <v>-42.718644067796745</v>
      </c>
      <c r="W12" s="7">
        <f>IF(W10="","",V12-W10+W11*$D10)</f>
        <v>-64.48135593220353</v>
      </c>
      <c r="X12" s="7">
        <f>IF(X10="","",W12-X10+X11*$D10)</f>
        <v>-86.24406779661031</v>
      </c>
      <c r="Y12" s="7">
        <f>IF(Y10="","",X12-Y10+Y11*$D10)</f>
        <v>-108.00677966101709</v>
      </c>
    </row>
    <row r="13">
      <c r="A13" s="11"/>
      <c r="B13" s="11"/>
      <c r="C13" s="11"/>
      <c r="D13" s="5"/>
      <c r="E13" t="inlineStr" s="7">
        <is>
          <t>cover month / 可涵蓋月數</t>
        </is>
      </c>
      <c r="F13" s="7">
        <f>IFERROR(F12/G10,"")</f>
        <v>3.2090342679127724</v>
      </c>
      <c r="G13" s="5">
        <f>IFERROR(G12/G10,"")</f>
        <v>5.885046728971963</v>
      </c>
      <c r="H13" s="5">
        <f>IFERROR(H12/H10,"")</f>
        <v>4.350042480883596</v>
      </c>
      <c r="I13" s="5">
        <f>IFERROR(I12/I10,"")</f>
        <v>4.036891293654691</v>
      </c>
      <c r="J13" s="5">
        <f>IFERROR(J12/J10,"")</f>
        <v>2.4864061172472325</v>
      </c>
      <c r="K13" s="5">
        <f>IFERROR(K12/K10,"")</f>
        <v>1.8789965568125853</v>
      </c>
      <c r="L13" s="5">
        <f>IFERROR(L12/L10,"")</f>
        <v>7.306428773718481</v>
      </c>
      <c r="M13" s="5">
        <f>IFERROR(M12/M10,"")</f>
        <v>7.037071651090337</v>
      </c>
      <c r="N13" s="5">
        <f>IFERROR(N12/N10,"")</f>
        <v>6.037071651090337</v>
      </c>
      <c r="O13" s="5">
        <f>IFERROR(O12/O10,"")</f>
        <v>5.037071651090337</v>
      </c>
      <c r="P13" s="5">
        <f>IFERROR(P12/P10,"")</f>
        <v>4.037071651090336</v>
      </c>
      <c r="Q13" s="5">
        <f>IFERROR(Q12/Q10,"")</f>
        <v>3.0370716510903364</v>
      </c>
      <c r="R13" s="5">
        <f>IFERROR(R12/R10,"")</f>
        <v>2.0370716510903364</v>
      </c>
      <c r="S13" s="5">
        <f>IFERROR(S12/S10,"")</f>
        <v>1.0370716510903364</v>
      </c>
      <c r="T13" s="5">
        <f>IFERROR(T12/T10,"")</f>
        <v>0.03707165109033636</v>
      </c>
      <c r="U13" s="5">
        <f>IFERROR(U12/U10,"")</f>
        <v>-0.9629283489096636</v>
      </c>
      <c r="V13" s="5">
        <f>IFERROR(V12/V10,"")</f>
        <v>-1.9629283489096636</v>
      </c>
      <c r="W13" s="5">
        <f>IFERROR(W12/W10,"")</f>
        <v>-2.9629283489096636</v>
      </c>
      <c r="X13" s="5">
        <f>IFERROR(X12/X10,"")</f>
        <v>-3.962928348909664</v>
      </c>
      <c r="Y13" s="5">
        <f>IFERROR(Y12/Y10,"")</f>
        <v>-4.9629283489096645</v>
      </c>
    </row>
    <row r="14">
      <c r="A14" t="inlineStr" s="11">
        <is>
          <t>8697343464225</t>
        </is>
      </c>
      <c r="B14" t="inlineStr" s="11">
        <is>
          <t>FEAST IQF FRENCH FRIES 10*10 mm 10x1 kg</t>
        </is>
      </c>
      <c r="C14" t="inlineStr" s="11">
        <is>
          <t>FEAST 10*10mm 薯條</t>
        </is>
      </c>
      <c r="D14" s="5">
        <v>64</v>
      </c>
      <c r="E14" t="inlineStr" s="4">
        <is>
          <t>FCST / 出貨需求</t>
        </is>
      </c>
      <c r="F14" s="5"/>
      <c r="G14" s="5">
        <v>18.50847457627119</v>
      </c>
      <c r="H14" s="5">
        <v>24.061016949152563</v>
      </c>
      <c r="I14" s="5">
        <v>16.657627118644083</v>
      </c>
      <c r="J14" s="5">
        <v>24.061016949152563</v>
      </c>
      <c r="K14" s="5">
        <v>16.657627118644083</v>
      </c>
      <c r="L14" s="5">
        <v>24.061016949152563</v>
      </c>
      <c r="M14" s="5">
        <v>18.50847457627119</v>
      </c>
      <c r="N14" s="5">
        <v>18.50847457627119</v>
      </c>
      <c r="O14" s="5">
        <v>18.50847457627119</v>
      </c>
      <c r="P14" s="5">
        <v>18.50847457627119</v>
      </c>
      <c r="Q14" s="5">
        <v>18.50847457627119</v>
      </c>
      <c r="R14" s="5">
        <v>18.50847457627119</v>
      </c>
      <c r="S14" s="5">
        <v>18.50847457627119</v>
      </c>
      <c r="T14" s="5">
        <v>18.50847457627119</v>
      </c>
      <c r="U14" s="5">
        <v>18.50847457627119</v>
      </c>
      <c r="V14" s="5">
        <v>18.50847457627119</v>
      </c>
      <c r="W14" s="5">
        <v>18.50847457627119</v>
      </c>
      <c r="X14" s="5">
        <v>18.50847457627119</v>
      </c>
      <c r="Y14" s="5">
        <v>18.50847457627119</v>
      </c>
    </row>
    <row r="15">
      <c r="A15" s="11"/>
      <c r="B15" s="11"/>
      <c r="C15" s="11"/>
      <c r="D15" s="5"/>
      <c r="E15" t="inlineStr" s="12">
        <is>
          <t>order / 訂貨板數</t>
        </is>
      </c>
      <c r="F15" s="13"/>
      <c r="G15" s="13">
        <v>2</v>
      </c>
      <c r="H15" s="13"/>
      <c r="I15" s="13"/>
      <c r="J15" s="13"/>
      <c r="K15" s="13"/>
      <c r="L15" s="13"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1"/>
      <c r="B16" s="11"/>
      <c r="C16" s="11"/>
      <c r="D16" s="5"/>
      <c r="E16" t="inlineStr" s="7">
        <is>
          <t>Stock / 月末庫存</t>
        </is>
      </c>
      <c r="F16" s="7">
        <v>64.0915254237288</v>
      </c>
      <c r="G16" s="7">
        <f>IF(G14="","",$F16-G14+G15*$D14)</f>
        <v>173.5830508474576</v>
      </c>
      <c r="H16" s="7">
        <f>IF(H14="","",G16-H14+H15*$D14)</f>
        <v>149.52203389830504</v>
      </c>
      <c r="I16" s="7">
        <f>IF(I14="","",H16-I14+I15*$D14)</f>
        <v>132.86440677966095</v>
      </c>
      <c r="J16" s="7">
        <f>IF(J14="","",I16-J14+J15*$D14)</f>
        <v>108.8033898305084</v>
      </c>
      <c r="K16" s="7">
        <f>IF(K14="","",J16-K14+K15*$D14)</f>
        <v>92.14576271186431</v>
      </c>
      <c r="L16" s="7">
        <f>IF(L14="","",K16-L14+L15*$D14)</f>
        <v>132.08474576271175</v>
      </c>
      <c r="M16" s="7">
        <f>IF(M14="","",L16-M14+M15*$D14)</f>
        <v>113.57627118644055</v>
      </c>
      <c r="N16" s="7">
        <f>IF(N14="","",M16-N14+N15*$D14)</f>
        <v>95.06779661016935</v>
      </c>
      <c r="O16" s="7">
        <f>IF(O14="","",N16-O14+O15*$D14)</f>
        <v>76.55932203389816</v>
      </c>
      <c r="P16" s="7">
        <f>IF(P14="","",O16-P14+P15*$D14)</f>
        <v>58.050847457626965</v>
      </c>
      <c r="Q16" s="7">
        <f>IF(Q14="","",P16-Q14+Q15*$D14)</f>
        <v>39.542372881355774</v>
      </c>
      <c r="R16" s="7">
        <f>IF(R14="","",Q16-R14+R15*$D14)</f>
        <v>21.033898305084584</v>
      </c>
      <c r="S16" s="7">
        <f>IF(S14="","",R16-S14+S15*$D14)</f>
        <v>2.5254237288133936</v>
      </c>
      <c r="T16" s="7">
        <f>IF(T14="","",S16-T14+T15*$D14)</f>
        <v>-15.983050847457797</v>
      </c>
      <c r="U16" s="7">
        <f>IF(U14="","",T16-U14+U15*$D14)</f>
        <v>-34.49152542372899</v>
      </c>
      <c r="V16" s="7">
        <f>IF(V14="","",U16-V14+V15*$D14)</f>
        <v>-53.00000000000018</v>
      </c>
      <c r="W16" s="7">
        <f>IF(W14="","",V16-W14+W15*$D14)</f>
        <v>-71.50847457627137</v>
      </c>
      <c r="X16" s="7">
        <f>IF(X14="","",W16-X14+X15*$D14)</f>
        <v>-90.01694915254257</v>
      </c>
      <c r="Y16" s="7">
        <f>IF(Y14="","",X16-Y14+Y15*$D14)</f>
        <v>-108.52542372881376</v>
      </c>
    </row>
    <row r="17">
      <c r="A17" s="11"/>
      <c r="B17" s="11"/>
      <c r="C17" s="11"/>
      <c r="D17" s="5"/>
      <c r="E17" t="inlineStr" s="7">
        <is>
          <t>cover month / 可涵蓋月數</t>
        </is>
      </c>
      <c r="F17" s="7">
        <f>IFERROR(F16/G14,"")</f>
        <v>3.462820512820511</v>
      </c>
      <c r="G17" s="5">
        <f>IFERROR(G16/G14,"")</f>
        <v>9.378571428571425</v>
      </c>
      <c r="H17" s="5">
        <f>IFERROR(H16/H14,"")</f>
        <v>6.214285714285707</v>
      </c>
      <c r="I17" s="5">
        <f>IFERROR(I16/I14,"")</f>
        <v>7.976190476190466</v>
      </c>
      <c r="J17" s="5">
        <f>IFERROR(J16/J14,"")</f>
        <v>4.521978021978015</v>
      </c>
      <c r="K17" s="5">
        <f>IFERROR(K16/K14,"")</f>
        <v>5.531746031746021</v>
      </c>
      <c r="L17" s="5">
        <f>IFERROR(L16/L14,"")</f>
        <v>5.489574528036057</v>
      </c>
      <c r="M17" s="5">
        <f>IFERROR(M16/M14,"")</f>
        <v>6.136446886446878</v>
      </c>
      <c r="N17" s="5">
        <f>IFERROR(N16/N14,"")</f>
        <v>5.136446886446878</v>
      </c>
      <c r="O17" s="5">
        <f>IFERROR(O16/O14,"")</f>
        <v>4.136446886446877</v>
      </c>
      <c r="P17" s="5">
        <f>IFERROR(P16/P14,"")</f>
        <v>3.1364468864468775</v>
      </c>
      <c r="Q17" s="5">
        <f>IFERROR(Q16/Q14,"")</f>
        <v>2.1364468864468775</v>
      </c>
      <c r="R17" s="5">
        <f>IFERROR(R16/R14,"")</f>
        <v>1.1364468864468775</v>
      </c>
      <c r="S17" s="5">
        <f>IFERROR(S16/S14,"")</f>
        <v>0.13644688644687747</v>
      </c>
      <c r="T17" s="5">
        <f>IFERROR(T16/T14,"")</f>
        <v>-0.8635531135531226</v>
      </c>
      <c r="U17" s="5">
        <f>IFERROR(U16/U14,"")</f>
        <v>-1.8635531135531225</v>
      </c>
      <c r="V17" s="5">
        <f>IFERROR(V16/V14,"")</f>
        <v>-2.8635531135531225</v>
      </c>
      <c r="W17" s="5">
        <f>IFERROR(W16/W14,"")</f>
        <v>-3.8635531135531225</v>
      </c>
      <c r="X17" s="5">
        <f>IFERROR(X16/X14,"")</f>
        <v>-4.863553113553123</v>
      </c>
      <c r="Y17" s="5">
        <f>IFERROR(Y16/Y14,"")</f>
        <v>-5.863553113553123</v>
      </c>
    </row>
    <row r="18">
      <c r="A18" t="inlineStr" s="11">
        <is>
          <t>8697343600039</t>
        </is>
      </c>
      <c r="B18" t="inlineStr" s="11">
        <is>
          <t>FEAST IQF FRENCH FRIES 7*7 mm 10x1 kg</t>
        </is>
      </c>
      <c r="C18" t="inlineStr" s="11">
        <is>
          <t>FEAST 7*7mm 薯條</t>
        </is>
      </c>
      <c r="D18" s="5">
        <v>64</v>
      </c>
      <c r="E18" t="inlineStr" s="4">
        <is>
          <t>FCST / 出貨需求</t>
        </is>
      </c>
      <c r="F18" s="5"/>
      <c r="G18" s="5">
        <v>29.796610169491526</v>
      </c>
      <c r="H18" s="5">
        <v>35.7559322033898</v>
      </c>
      <c r="I18" s="5">
        <v>26.816949152542353</v>
      </c>
      <c r="J18" s="5">
        <v>35.7559322033898</v>
      </c>
      <c r="K18" s="5">
        <v>26.816949152542353</v>
      </c>
      <c r="L18" s="5">
        <v>35.7559322033898</v>
      </c>
      <c r="M18" s="5">
        <v>29.796610169491526</v>
      </c>
      <c r="N18" s="5">
        <v>29.796610169491526</v>
      </c>
      <c r="O18" s="5">
        <v>29.796610169491526</v>
      </c>
      <c r="P18" s="5">
        <v>29.796610169491526</v>
      </c>
      <c r="Q18" s="5">
        <v>29.796610169491526</v>
      </c>
      <c r="R18" s="5">
        <v>29.796610169491526</v>
      </c>
      <c r="S18" s="5">
        <v>29.796610169491526</v>
      </c>
      <c r="T18" s="5">
        <v>29.796610169491526</v>
      </c>
      <c r="U18" s="5">
        <v>29.796610169491526</v>
      </c>
      <c r="V18" s="5">
        <v>29.796610169491526</v>
      </c>
      <c r="W18" s="5">
        <v>29.796610169491526</v>
      </c>
      <c r="X18" s="5">
        <v>29.796610169491526</v>
      </c>
      <c r="Y18" s="5">
        <v>29.796610169491526</v>
      </c>
    </row>
    <row r="19">
      <c r="A19" s="11"/>
      <c r="B19" s="11"/>
      <c r="C19" s="11"/>
      <c r="D19" s="5"/>
      <c r="E19" t="inlineStr" s="12">
        <is>
          <t>order / 訂貨板數</t>
        </is>
      </c>
      <c r="F19" s="13"/>
      <c r="G19" s="13">
        <v>5</v>
      </c>
      <c r="H19" s="13"/>
      <c r="I19" s="13"/>
      <c r="J19" s="13"/>
      <c r="K19" s="13"/>
      <c r="L19" s="13"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1"/>
      <c r="B20" s="11"/>
      <c r="C20" s="11"/>
      <c r="D20" s="5"/>
      <c r="E20" t="inlineStr" s="7">
        <is>
          <t>Stock / 月末庫存</t>
        </is>
      </c>
      <c r="F20" s="7">
        <v>26.903389830508477</v>
      </c>
      <c r="G20" s="7">
        <f>IF(G18="","",$F20-G18+G19*$D18)</f>
        <v>317.10677966101696</v>
      </c>
      <c r="H20" s="7">
        <f>IF(H18="","",G20-H18+H19*$D18)</f>
        <v>281.35084745762714</v>
      </c>
      <c r="I20" s="7">
        <f>IF(I18="","",H20-I18+I19*$D18)</f>
        <v>254.5338983050848</v>
      </c>
      <c r="J20" s="7">
        <f>IF(J18="","",I20-J18+J19*$D18)</f>
        <v>218.777966101695</v>
      </c>
      <c r="K20" s="7">
        <f>IF(K18="","",J20-K18+K19*$D18)</f>
        <v>191.96101694915265</v>
      </c>
      <c r="L20" s="7">
        <f>IF(L18="","",K20-L18+L19*$D18)</f>
        <v>220.20508474576286</v>
      </c>
      <c r="M20" s="7">
        <f>IF(M18="","",L20-M18+M19*$D18)</f>
        <v>190.40847457627135</v>
      </c>
      <c r="N20" s="7">
        <f>IF(N18="","",M20-N18+N19*$D18)</f>
        <v>160.61186440677983</v>
      </c>
      <c r="O20" s="7">
        <f>IF(O18="","",N20-O18+O19*$D18)</f>
        <v>130.81525423728831</v>
      </c>
      <c r="P20" s="7">
        <f>IF(P18="","",O20-P18+P19*$D18)</f>
        <v>101.01864406779679</v>
      </c>
      <c r="Q20" s="7">
        <f>IF(Q18="","",P20-Q18+Q19*$D18)</f>
        <v>71.22203389830526</v>
      </c>
      <c r="R20" s="7">
        <f>IF(R18="","",Q20-R18+R19*$D18)</f>
        <v>41.425423728813726</v>
      </c>
      <c r="S20" s="7">
        <f>IF(S18="","",R20-S18+S19*$D18)</f>
        <v>11.6288135593222</v>
      </c>
      <c r="T20" s="7">
        <f>IF(T18="","",S20-T18+T19*$D18)</f>
        <v>-18.167796610169326</v>
      </c>
      <c r="U20" s="7">
        <f>IF(U18="","",T20-U18+U19*$D18)</f>
        <v>-47.96440677966085</v>
      </c>
      <c r="V20" s="7">
        <f>IF(V18="","",U20-V18+V19*$D18)</f>
        <v>-77.76101694915238</v>
      </c>
      <c r="W20" s="7">
        <f>IF(W18="","",V20-W18+W19*$D18)</f>
        <v>-107.55762711864391</v>
      </c>
      <c r="X20" s="7">
        <f>IF(X18="","",W20-X18+X19*$D18)</f>
        <v>-137.35423728813544</v>
      </c>
      <c r="Y20" s="7">
        <f>IF(Y18="","",X20-Y18+Y19*$D18)</f>
        <v>-167.15084745762695</v>
      </c>
    </row>
    <row r="21">
      <c r="A21" s="11"/>
      <c r="B21" s="11"/>
      <c r="C21" s="11"/>
      <c r="D21" s="5"/>
      <c r="E21" t="inlineStr" s="7">
        <is>
          <t>cover month / 可涵蓋月數</t>
        </is>
      </c>
      <c r="F21" s="7">
        <f>IFERROR(F20/G18,"")</f>
        <v>0.9029010238907851</v>
      </c>
      <c r="G21" s="5">
        <f>IFERROR(G20/G18,"")</f>
        <v>10.642377701934016</v>
      </c>
      <c r="H21" s="5">
        <f>IFERROR(H20/H18,"")</f>
        <v>7.868648084945021</v>
      </c>
      <c r="I21" s="5">
        <f>IFERROR(I20/I18,"")</f>
        <v>9.491530779926693</v>
      </c>
      <c r="J21" s="5">
        <f>IFERROR(J20/J18,"")</f>
        <v>6.118648084945021</v>
      </c>
      <c r="K21" s="5">
        <f>IFERROR(K20/K18,"")</f>
        <v>7.15819744659336</v>
      </c>
      <c r="L21" s="5">
        <f>IFERROR(L20/L18,"")</f>
        <v>6.158560864618895</v>
      </c>
      <c r="M21" s="5">
        <f>IFERROR(M20/M18,"")</f>
        <v>6.390273037542667</v>
      </c>
      <c r="N21" s="5">
        <f>IFERROR(N20/N18,"")</f>
        <v>5.390273037542667</v>
      </c>
      <c r="O21" s="5">
        <f>IFERROR(O20/O18,"")</f>
        <v>4.390273037542668</v>
      </c>
      <c r="P21" s="5">
        <f>IFERROR(P20/P18,"")</f>
        <v>3.3902730375426677</v>
      </c>
      <c r="Q21" s="5">
        <f>IFERROR(Q20/Q18,"")</f>
        <v>2.3902730375426677</v>
      </c>
      <c r="R21" s="5">
        <f>IFERROR(R20/R18,"")</f>
        <v>1.3902730375426677</v>
      </c>
      <c r="S21" s="5">
        <f>IFERROR(S20/S18,"")</f>
        <v>0.3902730375426677</v>
      </c>
      <c r="T21" s="5">
        <f>IFERROR(T20/T18,"")</f>
        <v>-0.6097269624573323</v>
      </c>
      <c r="U21" s="5">
        <f>IFERROR(U20/U18,"")</f>
        <v>-1.6097269624573323</v>
      </c>
      <c r="V21" s="5">
        <f>IFERROR(V20/V18,"")</f>
        <v>-2.6097269624573323</v>
      </c>
      <c r="W21" s="5">
        <f>IFERROR(W20/W18,"")</f>
        <v>-3.6097269624573323</v>
      </c>
      <c r="X21" s="5">
        <f>IFERROR(X20/X18,"")</f>
        <v>-4.609726962457333</v>
      </c>
      <c r="Y21" s="5">
        <f>IFERROR(Y20/Y18,"")</f>
        <v>-5.609726962457332</v>
      </c>
    </row>
    <row r="22">
      <c r="A22" t="inlineStr" s="11">
        <is>
          <t>8697343650027</t>
        </is>
      </c>
      <c r="B22" t="inlineStr" s="11">
        <is>
          <t>FEAST IQF ONION RINGS 12*450 GR</t>
        </is>
      </c>
      <c r="C22" t="inlineStr" s="11">
        <is>
          <t>洋蔥圈</t>
        </is>
      </c>
      <c r="D22" s="5">
        <v>72</v>
      </c>
      <c r="E22" t="inlineStr" s="4">
        <is>
          <t>FCST / 出貨需求</t>
        </is>
      </c>
      <c r="F22" s="5"/>
      <c r="G22" s="5">
        <v>43.388888888888886</v>
      </c>
      <c r="H22" s="5">
        <v>56.83944444444446</v>
      </c>
      <c r="I22" s="5">
        <v>39.05000000000001</v>
      </c>
      <c r="J22" s="5">
        <v>56.83944444444446</v>
      </c>
      <c r="K22" s="5">
        <v>39.05000000000001</v>
      </c>
      <c r="L22" s="5">
        <v>56.83944444444446</v>
      </c>
      <c r="M22" s="5">
        <v>39.05000000000001</v>
      </c>
      <c r="N22" s="5">
        <v>43.388888888888886</v>
      </c>
      <c r="O22" s="5">
        <v>43.388888888888886</v>
      </c>
      <c r="P22" s="5">
        <v>43.388888888888886</v>
      </c>
      <c r="Q22" s="5">
        <v>43.388888888888886</v>
      </c>
      <c r="R22" s="5">
        <v>43.388888888888886</v>
      </c>
      <c r="S22" s="5">
        <v>43.388888888888886</v>
      </c>
      <c r="T22" s="5">
        <v>43.388888888888886</v>
      </c>
      <c r="U22" s="5">
        <v>43.388888888888886</v>
      </c>
      <c r="V22" s="5">
        <v>43.388888888888886</v>
      </c>
      <c r="W22" s="5">
        <v>43.388888888888886</v>
      </c>
      <c r="X22" s="5">
        <v>43.388888888888886</v>
      </c>
      <c r="Y22" s="5">
        <v>43.388888888888886</v>
      </c>
    </row>
    <row r="23">
      <c r="A23" s="11"/>
      <c r="B23" s="11"/>
      <c r="C23" s="11"/>
      <c r="D23" s="5"/>
      <c r="E23" t="inlineStr" s="12">
        <is>
          <t>order / 訂貨板數</t>
        </is>
      </c>
      <c r="F23" s="13"/>
      <c r="G23" s="13">
        <v>6</v>
      </c>
      <c r="H23" s="13"/>
      <c r="I23" s="13"/>
      <c r="J23" s="13"/>
      <c r="K23" s="13"/>
      <c r="L23" s="13">
        <v>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1"/>
      <c r="B24" s="11"/>
      <c r="C24" s="11"/>
      <c r="D24" s="5"/>
      <c r="E24" t="inlineStr" s="7">
        <is>
          <t>Stock / 月末庫存</t>
        </is>
      </c>
      <c r="F24" s="7">
        <v>12.808888888888887</v>
      </c>
      <c r="G24" s="7">
        <f>IF(G22="","",$F24-G22+G23*$D22)</f>
        <v>401.42</v>
      </c>
      <c r="H24" s="7">
        <f>IF(H22="","",G24-H22+H23*$D22)</f>
        <v>344.5805555555556</v>
      </c>
      <c r="I24" s="7">
        <f>IF(I22="","",H24-I22+I23*$D22)</f>
        <v>305.53055555555557</v>
      </c>
      <c r="J24" s="7">
        <f>IF(J22="","",I24-J22+J23*$D22)</f>
        <v>248.6911111111111</v>
      </c>
      <c r="K24" s="7">
        <f>IF(K22="","",J24-K22+K23*$D22)</f>
        <v>209.6411111111111</v>
      </c>
      <c r="L24" s="7">
        <f>IF(L22="","",K24-L22+L23*$D22)</f>
        <v>656.8016666666666</v>
      </c>
      <c r="M24" s="7">
        <f>IF(M22="","",L24-M22+M23*$D22)</f>
        <v>617.7516666666666</v>
      </c>
      <c r="N24" s="7">
        <f>IF(N22="","",M24-N22+N23*$D22)</f>
        <v>574.3627777777776</v>
      </c>
      <c r="O24" s="7">
        <f>IF(O22="","",N24-O22+O23*$D22)</f>
        <v>530.9738888888887</v>
      </c>
      <c r="P24" s="7">
        <f>IF(P22="","",O24-P22+P23*$D22)</f>
        <v>487.5849999999998</v>
      </c>
      <c r="Q24" s="7">
        <f>IF(Q22="","",P24-Q22+Q23*$D22)</f>
        <v>444.1961111111109</v>
      </c>
      <c r="R24" s="7">
        <f>IF(R22="","",Q24-R22+R23*$D22)</f>
        <v>400.807222222222</v>
      </c>
      <c r="S24" s="7">
        <f>IF(S22="","",R24-S22+S23*$D22)</f>
        <v>357.41833333333307</v>
      </c>
      <c r="T24" s="7">
        <f>IF(T22="","",S24-T22+T23*$D22)</f>
        <v>314.02944444444415</v>
      </c>
      <c r="U24" s="7">
        <f>IF(U22="","",T24-U22+U23*$D22)</f>
        <v>270.64055555555524</v>
      </c>
      <c r="V24" s="7">
        <f>IF(V22="","",U24-V22+V23*$D22)</f>
        <v>227.25166666666635</v>
      </c>
      <c r="W24" s="7">
        <f>IF(W22="","",V24-W22+W23*$D22)</f>
        <v>183.86277777777747</v>
      </c>
      <c r="X24" s="7">
        <f>IF(X22="","",W24-X22+X23*$D22)</f>
        <v>140.47388888888858</v>
      </c>
      <c r="Y24" s="7">
        <f>IF(Y22="","",X24-Y22+Y23*$D22)</f>
        <v>97.0849999999997</v>
      </c>
    </row>
    <row r="25">
      <c r="A25" s="11"/>
      <c r="B25" s="11"/>
      <c r="C25" s="11"/>
      <c r="D25" s="5"/>
      <c r="E25" t="inlineStr" s="7">
        <is>
          <t>cover month / 可涵蓋月數</t>
        </is>
      </c>
      <c r="F25" s="7">
        <f>IFERROR(F24/G22,"")</f>
        <v>0.29521126760563376</v>
      </c>
      <c r="G25" s="5">
        <f>IFERROR(G24/G22,"")</f>
        <v>9.251677336747761</v>
      </c>
      <c r="H25" s="5">
        <f>IFERROR(H24/H22,"")</f>
        <v>6.062349112021189</v>
      </c>
      <c r="I25" s="5">
        <f>IFERROR(I24/I22,"")</f>
        <v>7.824085929719731</v>
      </c>
      <c r="J25" s="5">
        <f>IFERROR(J24/J22,"")</f>
        <v>4.37532621125783</v>
      </c>
      <c r="K25" s="5">
        <f>IFERROR(K24/K22,"")</f>
        <v>5.368530374164175</v>
      </c>
      <c r="L25" s="5">
        <f>IFERROR(L24/L22,"")</f>
        <v>11.555385051460739</v>
      </c>
      <c r="M25" s="5">
        <f>IFERROR(M24/M22,"")</f>
        <v>15.819504908237295</v>
      </c>
      <c r="N25" s="5">
        <f>IFERROR(N24/N22,"")</f>
        <v>13.23755441741357</v>
      </c>
      <c r="O25" s="5">
        <f>IFERROR(O24/O22,"")</f>
        <v>12.23755441741357</v>
      </c>
      <c r="P25" s="5">
        <f>IFERROR(P24/P22,"")</f>
        <v>11.237554417413568</v>
      </c>
      <c r="Q25" s="5">
        <f>IFERROR(Q24/Q22,"")</f>
        <v>10.237554417413568</v>
      </c>
      <c r="R25" s="5">
        <f>IFERROR(R24/R22,"")</f>
        <v>9.237554417413568</v>
      </c>
      <c r="S25" s="5">
        <f>IFERROR(S24/S22,"")</f>
        <v>8.237554417413566</v>
      </c>
      <c r="T25" s="5">
        <f>IFERROR(T24/T22,"")</f>
        <v>7.237554417413566</v>
      </c>
      <c r="U25" s="5">
        <f>IFERROR(U24/U22,"")</f>
        <v>6.237554417413565</v>
      </c>
      <c r="V25" s="5">
        <f>IFERROR(V24/V22,"")</f>
        <v>5.237554417413565</v>
      </c>
      <c r="W25" s="5">
        <f>IFERROR(W24/W22,"")</f>
        <v>4.237554417413565</v>
      </c>
      <c r="X25" s="5">
        <f>IFERROR(X24/X22,"")</f>
        <v>3.2375544174135653</v>
      </c>
      <c r="Y25" s="5">
        <f>IFERROR(Y24/Y22,"")</f>
        <v>2.2375544174135653</v>
      </c>
    </row>
    <row r="26">
      <c r="A26" t="inlineStr" s="11">
        <is>
          <t>8697343550129</t>
        </is>
      </c>
      <c r="B26" t="inlineStr" s="11">
        <is>
          <t>FEAST IQF BROCCOLI 12*500 g</t>
        </is>
      </c>
      <c r="C26" t="inlineStr" s="11">
        <is>
          <t>急凍青花菜</t>
        </is>
      </c>
      <c r="D26" s="5">
        <v>72</v>
      </c>
      <c r="E26" t="inlineStr" s="4">
        <is>
          <t>FCST / 出貨需求</t>
        </is>
      </c>
      <c r="F26" s="5"/>
      <c r="G26" s="5">
        <v>13.94736842105263</v>
      </c>
      <c r="H26" s="5">
        <v>16.03947368421049</v>
      </c>
      <c r="I26" s="5">
        <v>16.03947368421049</v>
      </c>
      <c r="J26" s="5">
        <v>16.03947368421049</v>
      </c>
      <c r="K26" s="5">
        <v>16.03947368421049</v>
      </c>
      <c r="L26" s="5">
        <v>16.03947368421049</v>
      </c>
      <c r="M26" s="5">
        <v>16.03947368421049</v>
      </c>
      <c r="N26" s="5">
        <v>13.94736842105263</v>
      </c>
      <c r="O26" s="5">
        <v>13.94736842105263</v>
      </c>
      <c r="P26" s="5">
        <v>13.94736842105263</v>
      </c>
      <c r="Q26" s="5">
        <v>13.94736842105263</v>
      </c>
      <c r="R26" s="5">
        <v>13.94736842105263</v>
      </c>
      <c r="S26" s="5">
        <v>13.94736842105263</v>
      </c>
      <c r="T26" s="5">
        <v>13.94736842105263</v>
      </c>
      <c r="U26" s="5">
        <v>13.94736842105263</v>
      </c>
      <c r="V26" s="5">
        <v>13.94736842105263</v>
      </c>
      <c r="W26" s="5">
        <v>13.94736842105263</v>
      </c>
      <c r="X26" s="5">
        <v>13.94736842105263</v>
      </c>
      <c r="Y26" s="5">
        <v>13.94736842105263</v>
      </c>
    </row>
    <row r="27">
      <c r="A27" s="11"/>
      <c r="B27" s="11"/>
      <c r="C27" s="11"/>
      <c r="D27" s="5"/>
      <c r="E27" t="inlineStr" s="12">
        <is>
          <t>order / 訂貨板數</t>
        </is>
      </c>
      <c r="F27" s="13"/>
      <c r="G27" s="13">
        <v>1</v>
      </c>
      <c r="H27" s="13"/>
      <c r="I27" s="13"/>
      <c r="J27" s="13"/>
      <c r="K27" s="13"/>
      <c r="L27" s="13">
        <v>2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1"/>
      <c r="B28" s="11"/>
      <c r="C28" s="11"/>
      <c r="D28" s="5"/>
      <c r="E28" t="inlineStr" s="7">
        <is>
          <t>Stock / 月末庫存</t>
        </is>
      </c>
      <c r="F28" s="7">
        <v>87.6359649122807</v>
      </c>
      <c r="G28" s="7">
        <f>IF(G26="","",$F28-G26+G27*$D26)</f>
        <v>145.68859649122805</v>
      </c>
      <c r="H28" s="7">
        <f>IF(H26="","",G28-H26+H27*$D26)</f>
        <v>129.64912280701756</v>
      </c>
      <c r="I28" s="7">
        <f>IF(I26="","",H28-I26+I27*$D26)</f>
        <v>113.60964912280707</v>
      </c>
      <c r="J28" s="7">
        <f>IF(J26="","",I28-J26+J27*$D26)</f>
        <v>97.57017543859658</v>
      </c>
      <c r="K28" s="7">
        <f>IF(K26="","",J28-K26+K27*$D26)</f>
        <v>81.53070175438609</v>
      </c>
      <c r="L28" s="7">
        <f>IF(L26="","",K28-L26+L27*$D26)</f>
        <v>209.4912280701756</v>
      </c>
      <c r="M28" s="7">
        <f>IF(M26="","",L28-M26+M27*$D26)</f>
        <v>193.4517543859651</v>
      </c>
      <c r="N28" s="7">
        <f>IF(N26="","",M28-N26+N27*$D26)</f>
        <v>179.50438596491247</v>
      </c>
      <c r="O28" s="7">
        <f>IF(O26="","",N28-O26+O27*$D26)</f>
        <v>165.55701754385984</v>
      </c>
      <c r="P28" s="7">
        <f>IF(P26="","",O28-P26+P27*$D26)</f>
        <v>151.6096491228072</v>
      </c>
      <c r="Q28" s="7">
        <f>IF(Q26="","",P28-Q26+Q27*$D26)</f>
        <v>137.66228070175458</v>
      </c>
      <c r="R28" s="7">
        <f>IF(R26="","",Q28-R26+R27*$D26)</f>
        <v>123.71491228070195</v>
      </c>
      <c r="S28" s="7">
        <f>IF(S26="","",R28-S26+S27*$D26)</f>
        <v>109.76754385964932</v>
      </c>
      <c r="T28" s="7">
        <f>IF(T26="","",S28-T26+T27*$D26)</f>
        <v>95.82017543859669</v>
      </c>
      <c r="U28" s="7">
        <f>IF(U26="","",T28-U26+U27*$D26)</f>
        <v>81.87280701754406</v>
      </c>
      <c r="V28" s="7">
        <f>IF(V26="","",U28-V26+V27*$D26)</f>
        <v>67.92543859649143</v>
      </c>
      <c r="W28" s="7">
        <f>IF(W26="","",V28-W26+W27*$D26)</f>
        <v>53.9780701754388</v>
      </c>
      <c r="X28" s="7">
        <f>IF(X26="","",W28-X26+X27*$D26)</f>
        <v>40.03070175438617</v>
      </c>
      <c r="Y28" s="7">
        <f>IF(Y26="","",X28-Y26+Y27*$D26)</f>
        <v>26.08333333333354</v>
      </c>
    </row>
    <row r="29">
      <c r="A29" s="11"/>
      <c r="B29" s="11"/>
      <c r="C29" s="11"/>
      <c r="D29" s="5"/>
      <c r="E29" t="inlineStr" s="7">
        <is>
          <t>cover month / 可涵蓋月數</t>
        </is>
      </c>
      <c r="F29" s="7">
        <f>IFERROR(F28/G26,"")</f>
        <v>6.283333333333334</v>
      </c>
      <c r="G29" s="5">
        <f>IFERROR(G28/G26,"")</f>
        <v>10.44559748427673</v>
      </c>
      <c r="H29" s="5">
        <f>IFERROR(H28/H26,"")</f>
        <v>8.083128247197177</v>
      </c>
      <c r="I29" s="5">
        <f>IFERROR(I28/I26,"")</f>
        <v>7.083128247197176</v>
      </c>
      <c r="J29" s="5">
        <f>IFERROR(J28/J26,"")</f>
        <v>6.083128247197176</v>
      </c>
      <c r="K29" s="5">
        <f>IFERROR(K28/K26,"")</f>
        <v>5.083128247197176</v>
      </c>
      <c r="L29" s="5">
        <f>IFERROR(L28/L26,"")</f>
        <v>13.06097894449006</v>
      </c>
      <c r="M29" s="5">
        <f>IFERROR(M28/M26,"")</f>
        <v>12.06097894449006</v>
      </c>
      <c r="N29" s="5">
        <f>IFERROR(N28/N26,"")</f>
        <v>12.870125786163538</v>
      </c>
      <c r="O29" s="5">
        <f>IFERROR(O28/O26,"")</f>
        <v>11.870125786163538</v>
      </c>
      <c r="P29" s="5">
        <f>IFERROR(P28/P26,"")</f>
        <v>10.870125786163538</v>
      </c>
      <c r="Q29" s="5">
        <f>IFERROR(Q28/Q26,"")</f>
        <v>9.870125786163538</v>
      </c>
      <c r="R29" s="5">
        <f>IFERROR(R28/R26,"")</f>
        <v>8.870125786163538</v>
      </c>
      <c r="S29" s="5">
        <f>IFERROR(S28/S26,"")</f>
        <v>7.870125786163537</v>
      </c>
      <c r="T29" s="5">
        <f>IFERROR(T28/T26,"")</f>
        <v>6.870125786163537</v>
      </c>
      <c r="U29" s="5">
        <f>IFERROR(U28/U26,"")</f>
        <v>5.870125786163537</v>
      </c>
      <c r="V29" s="5">
        <f>IFERROR(V28/V26,"")</f>
        <v>4.870125786163537</v>
      </c>
      <c r="W29" s="5">
        <f>IFERROR(W28/W26,"")</f>
        <v>3.870125786163537</v>
      </c>
      <c r="X29" s="5">
        <f>IFERROR(X28/X26,"")</f>
        <v>2.870125786163537</v>
      </c>
      <c r="Y29" s="5">
        <f>IFERROR(Y28/Y26,"")</f>
        <v>1.8701257861635372</v>
      </c>
    </row>
    <row r="30">
      <c r="A30" t="inlineStr" s="11">
        <is>
          <t>8697343500200</t>
        </is>
      </c>
      <c r="B30" t="inlineStr" s="11">
        <is>
          <t>FEAST IQF GREEN BEANS 16*450 GR</t>
        </is>
      </c>
      <c r="C30" t="inlineStr" s="11">
        <is>
          <t>急凍四季豆</t>
        </is>
      </c>
      <c r="D30" s="5">
        <v>80</v>
      </c>
      <c r="E30" t="inlineStr" s="4">
        <is>
          <t>FCST / 出貨需求</t>
        </is>
      </c>
      <c r="F30" s="5"/>
      <c r="G30" s="5">
        <v>5.720338983050847</v>
      </c>
      <c r="H30" s="5">
        <v>5.720338983050847</v>
      </c>
      <c r="I30" s="5">
        <v>6.46398305084746</v>
      </c>
      <c r="J30" s="5">
        <v>5.434322033898308</v>
      </c>
      <c r="K30" s="5">
        <v>6.46398305084746</v>
      </c>
      <c r="L30" s="5">
        <v>5.434322033898308</v>
      </c>
      <c r="M30" s="5">
        <v>6.46398305084746</v>
      </c>
      <c r="N30" s="5">
        <v>5.720338983050847</v>
      </c>
      <c r="O30" s="5">
        <v>5.720338983050847</v>
      </c>
      <c r="P30" s="5">
        <v>5.720338983050847</v>
      </c>
      <c r="Q30" s="5">
        <v>5.720338983050847</v>
      </c>
      <c r="R30" s="5">
        <v>5.720338983050847</v>
      </c>
      <c r="S30" s="5">
        <v>5.720338983050847</v>
      </c>
      <c r="T30" s="5">
        <v>5.720338983050847</v>
      </c>
      <c r="U30" s="5">
        <v>5.720338983050847</v>
      </c>
      <c r="V30" s="5">
        <v>5.720338983050847</v>
      </c>
      <c r="W30" s="5">
        <v>5.720338983050847</v>
      </c>
      <c r="X30" s="5">
        <v>5.720338983050847</v>
      </c>
      <c r="Y30" s="5">
        <v>5.720338983050847</v>
      </c>
    </row>
    <row r="31">
      <c r="A31" s="11"/>
      <c r="B31" s="11"/>
      <c r="C31" s="11"/>
      <c r="D31" s="5"/>
      <c r="E31" t="inlineStr" s="12">
        <is>
          <t>order / 訂貨板數</t>
        </is>
      </c>
      <c r="F31" s="13"/>
      <c r="G31" s="13"/>
      <c r="H31" s="13"/>
      <c r="I31" s="13"/>
      <c r="J31" s="13"/>
      <c r="K31" s="13"/>
      <c r="L31" s="13">
        <v>1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1"/>
      <c r="B32" s="11"/>
      <c r="C32" s="11"/>
      <c r="D32" s="5"/>
      <c r="E32" t="inlineStr" s="7">
        <is>
          <t>Stock / 月末庫存</t>
        </is>
      </c>
      <c r="F32" s="7">
        <v>55.404661016949156</v>
      </c>
      <c r="G32" s="7">
        <f>IF(G30="","",$F32-G30+G31*$D30)</f>
        <v>49.68432203389831</v>
      </c>
      <c r="H32" s="7">
        <f>IF(H30="","",G32-H30+H31*$D30)</f>
        <v>43.96398305084747</v>
      </c>
      <c r="I32" s="7">
        <f>IF(I30="","",H32-I30+I31*$D30)</f>
        <v>37.50000000000001</v>
      </c>
      <c r="J32" s="7">
        <f>IF(J30="","",I32-J30+J31*$D30)</f>
        <v>32.0656779661017</v>
      </c>
      <c r="K32" s="7">
        <f>IF(K30="","",J32-K30+K31*$D30)</f>
        <v>25.601694915254242</v>
      </c>
      <c r="L32" s="7">
        <f>IF(L30="","",K32-L30+L31*$D30)</f>
        <v>100.16737288135593</v>
      </c>
      <c r="M32" s="7">
        <f>IF(M30="","",L32-M30+M31*$D30)</f>
        <v>93.70338983050847</v>
      </c>
      <c r="N32" s="7">
        <f>IF(N30="","",M32-N30+N31*$D30)</f>
        <v>87.98305084745762</v>
      </c>
      <c r="O32" s="7">
        <f>IF(O30="","",N32-O30+O31*$D30)</f>
        <v>82.26271186440677</v>
      </c>
      <c r="P32" s="7">
        <f>IF(P30="","",O32-P30+P31*$D30)</f>
        <v>76.54237288135592</v>
      </c>
      <c r="Q32" s="7">
        <f>IF(Q30="","",P32-Q30+Q31*$D30)</f>
        <v>70.82203389830507</v>
      </c>
      <c r="R32" s="7">
        <f>IF(R30="","",Q32-R30+R31*$D30)</f>
        <v>65.10169491525421</v>
      </c>
      <c r="S32" s="7">
        <f>IF(S30="","",R32-S30+S31*$D30)</f>
        <v>59.38135593220337</v>
      </c>
      <c r="T32" s="7">
        <f>IF(T30="","",S32-T30+T31*$D30)</f>
        <v>53.661016949152526</v>
      </c>
      <c r="U32" s="7">
        <f>IF(U30="","",T32-U30+U31*$D30)</f>
        <v>47.94067796610168</v>
      </c>
      <c r="V32" s="7">
        <f>IF(V30="","",U32-V30+V31*$D30)</f>
        <v>42.22033898305084</v>
      </c>
      <c r="W32" s="7">
        <f>IF(W30="","",V32-W30+W31*$D30)</f>
        <v>36.49999999999999</v>
      </c>
      <c r="X32" s="7">
        <f>IF(X30="","",W32-X30+X31*$D30)</f>
        <v>30.779661016949145</v>
      </c>
      <c r="Y32" s="7">
        <f>IF(Y30="","",X32-Y30+Y31*$D30)</f>
        <v>25.059322033898297</v>
      </c>
    </row>
    <row r="33">
      <c r="A33" s="11"/>
      <c r="B33" s="11"/>
      <c r="C33" s="11"/>
      <c r="D33" s="5"/>
      <c r="E33" t="inlineStr" s="7">
        <is>
          <t>cover month / 可涵蓋月數</t>
        </is>
      </c>
      <c r="F33" s="7">
        <f>IFERROR(F32/G30,"")</f>
        <v>9.685555555555558</v>
      </c>
      <c r="G33" s="5">
        <f>IFERROR(G32/G30,"")</f>
        <v>8.685555555555558</v>
      </c>
      <c r="H33" s="5">
        <f>IFERROR(H32/H30,"")</f>
        <v>7.685555555555558</v>
      </c>
      <c r="I33" s="5">
        <f>IFERROR(I32/I30,"")</f>
        <v>5.801376597836773</v>
      </c>
      <c r="J33" s="5">
        <f>IFERROR(J32/J30,"")</f>
        <v>5.9005847953216355</v>
      </c>
      <c r="K33" s="5">
        <f>IFERROR(K32/K30,"")</f>
        <v>3.960668633235004</v>
      </c>
      <c r="L33" s="5">
        <f>IFERROR(L32/L30,"")</f>
        <v>18.432358674463927</v>
      </c>
      <c r="M33" s="5">
        <f>IFERROR(M32/M30,"")</f>
        <v>14.496230744018348</v>
      </c>
      <c r="N33" s="5">
        <f>IFERROR(N32/N30,"")</f>
        <v>15.380740740740741</v>
      </c>
      <c r="O33" s="5">
        <f>IFERROR(O32/O30,"")</f>
        <v>14.38074074074074</v>
      </c>
      <c r="P33" s="5">
        <f>IFERROR(P32/P30,"")</f>
        <v>13.38074074074074</v>
      </c>
      <c r="Q33" s="5">
        <f>IFERROR(Q32/Q30,"")</f>
        <v>12.38074074074074</v>
      </c>
      <c r="R33" s="5">
        <f>IFERROR(R32/R30,"")</f>
        <v>11.380740740740737</v>
      </c>
      <c r="S33" s="5">
        <f>IFERROR(S32/S30,"")</f>
        <v>10.380740740740737</v>
      </c>
      <c r="T33" s="5">
        <f>IFERROR(T32/T30,"")</f>
        <v>9.38074074074074</v>
      </c>
      <c r="U33" s="5">
        <f>IFERROR(U32/U30,"")</f>
        <v>8.38074074074074</v>
      </c>
      <c r="V33" s="5">
        <f>IFERROR(V32/V30,"")</f>
        <v>7.380740740740739</v>
      </c>
      <c r="W33" s="5">
        <f>IFERROR(W32/W30,"")</f>
        <v>6.38074074074074</v>
      </c>
      <c r="X33" s="5">
        <f>IFERROR(X32/X30,"")</f>
        <v>5.38074074074074</v>
      </c>
      <c r="Y33" s="5">
        <f>IFERROR(Y32/Y30,"")</f>
        <v>4.38074074074074</v>
      </c>
    </row>
    <row r="34">
      <c r="A34" t="inlineStr" s="11">
        <is>
          <t>8697343550013</t>
        </is>
      </c>
      <c r="B34" t="inlineStr" s="11">
        <is>
          <t>FEAST IQF GREEN PEAS</t>
        </is>
      </c>
      <c r="C34" t="inlineStr" s="11">
        <is>
          <t>急速冷凍豌豆</t>
        </is>
      </c>
      <c r="D34" s="5">
        <v>80</v>
      </c>
      <c r="E34" t="inlineStr" s="4">
        <is>
          <t>FCST / 出貨需求</t>
        </is>
      </c>
      <c r="F34" s="5"/>
      <c r="G34" s="5">
        <v>4.576271186440677</v>
      </c>
      <c r="H34" s="5">
        <v>4.576271186440677</v>
      </c>
      <c r="I34" s="5">
        <v>5.033898305084748</v>
      </c>
      <c r="J34" s="5">
        <v>4.347457627118645</v>
      </c>
      <c r="K34" s="5">
        <v>5.033898305084748</v>
      </c>
      <c r="L34" s="5">
        <v>4.347457627118645</v>
      </c>
      <c r="M34" s="5">
        <v>5.033898305084748</v>
      </c>
      <c r="N34" s="5">
        <v>4.576271186440677</v>
      </c>
      <c r="O34" s="5">
        <v>4.576271186440677</v>
      </c>
      <c r="P34" s="5">
        <v>4.576271186440677</v>
      </c>
      <c r="Q34" s="5">
        <v>4.576271186440677</v>
      </c>
      <c r="R34" s="5">
        <v>4.576271186440677</v>
      </c>
      <c r="S34" s="5">
        <v>4.576271186440677</v>
      </c>
      <c r="T34" s="5">
        <v>4.576271186440677</v>
      </c>
      <c r="U34" s="5">
        <v>4.576271186440677</v>
      </c>
      <c r="V34" s="5">
        <v>4.576271186440677</v>
      </c>
      <c r="W34" s="5">
        <v>4.576271186440677</v>
      </c>
      <c r="X34" s="5">
        <v>4.576271186440677</v>
      </c>
      <c r="Y34" s="5">
        <v>4.576271186440677</v>
      </c>
    </row>
    <row r="35">
      <c r="A35" s="11"/>
      <c r="B35" s="11"/>
      <c r="C35" s="11"/>
      <c r="D35" s="5"/>
      <c r="E35" t="inlineStr" s="12">
        <is>
          <t>order / 訂貨板數</t>
        </is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1"/>
      <c r="B36" s="11"/>
      <c r="C36" s="11"/>
      <c r="D36" s="5"/>
      <c r="E36" t="inlineStr" s="7">
        <is>
          <t>Stock / 月末庫存</t>
        </is>
      </c>
      <c r="F36" s="7">
        <v>60.523728813559316</v>
      </c>
      <c r="G36" s="7">
        <f>IF(G34="","",$F36-G34+G35*$D34)</f>
        <v>55.94745762711864</v>
      </c>
      <c r="H36" s="7">
        <f>IF(H34="","",G36-H34+H35*$D34)</f>
        <v>51.37118644067796</v>
      </c>
      <c r="I36" s="7">
        <f>IF(I34="","",H36-I34+I35*$D34)</f>
        <v>46.33728813559321</v>
      </c>
      <c r="J36" s="7">
        <f>IF(J34="","",I36-J34+J35*$D34)</f>
        <v>41.98983050847457</v>
      </c>
      <c r="K36" s="7">
        <f>IF(K34="","",J36-K34+K35*$D34)</f>
        <v>36.95593220338982</v>
      </c>
      <c r="L36" s="7">
        <f>IF(L34="","",K36-L34+L35*$D34)</f>
        <v>32.60847457627118</v>
      </c>
      <c r="M36" s="7">
        <f>IF(M34="","",L36-M34+M35*$D34)</f>
        <v>27.57457627118643</v>
      </c>
      <c r="N36" s="7">
        <f>IF(N34="","",M36-N34+N35*$D34)</f>
        <v>22.998305084745752</v>
      </c>
      <c r="O36" s="7">
        <f>IF(O34="","",N36-O34+O35*$D34)</f>
        <v>18.422033898305074</v>
      </c>
      <c r="P36" s="7">
        <f>IF(P34="","",O36-P34+P35*$D34)</f>
        <v>13.845762711864396</v>
      </c>
      <c r="Q36" s="7">
        <f>IF(Q34="","",P36-Q34+Q35*$D34)</f>
        <v>9.269491525423717</v>
      </c>
      <c r="R36" s="7">
        <f>IF(R34="","",Q36-R34+R35*$D34)</f>
        <v>4.69322033898304</v>
      </c>
      <c r="S36" s="7">
        <f>IF(S34="","",R36-S34+S35*$D34)</f>
        <v>0.11694915254236271</v>
      </c>
      <c r="T36" s="7">
        <f>IF(T34="","",S36-T34+T35*$D34)</f>
        <v>-4.459322033898315</v>
      </c>
      <c r="U36" s="7">
        <f>IF(U34="","",T36-U34+U35*$D34)</f>
        <v>-9.035593220338992</v>
      </c>
      <c r="V36" s="7">
        <f>IF(V34="","",U36-V34+V35*$D34)</f>
        <v>-13.61186440677967</v>
      </c>
      <c r="W36" s="7">
        <f>IF(W34="","",V36-W34+W35*$D34)</f>
        <v>-18.18813559322035</v>
      </c>
      <c r="X36" s="7">
        <f>IF(X34="","",W36-X34+X35*$D34)</f>
        <v>-22.764406779661027</v>
      </c>
      <c r="Y36" s="7">
        <f>IF(Y34="","",X36-Y34+Y35*$D34)</f>
        <v>-27.340677966101705</v>
      </c>
    </row>
    <row r="37">
      <c r="A37" s="11"/>
      <c r="B37" s="11"/>
      <c r="C37" s="11"/>
      <c r="D37" s="5"/>
      <c r="E37" t="inlineStr" s="7">
        <is>
          <t>cover month / 可涵蓋月數</t>
        </is>
      </c>
      <c r="F37" s="7">
        <f>IFERROR(F36/G34,"")</f>
        <v>13.225555555555555</v>
      </c>
      <c r="G37" s="5">
        <f>IFERROR(G36/G34,"")</f>
        <v>12.225555555555555</v>
      </c>
      <c r="H37" s="5">
        <f>IFERROR(H36/H34,"")</f>
        <v>11.225555555555555</v>
      </c>
      <c r="I37" s="5">
        <f>IFERROR(I36/I34,"")</f>
        <v>9.2050505050505</v>
      </c>
      <c r="J37" s="5">
        <f>IFERROR(J36/J34,"")</f>
        <v>9.658479532163739</v>
      </c>
      <c r="K37" s="5">
        <f>IFERROR(K36/K34,"")</f>
        <v>7.341414141414136</v>
      </c>
      <c r="L37" s="5">
        <f>IFERROR(L36/L34,"")</f>
        <v>7.500584795321633</v>
      </c>
      <c r="M37" s="5">
        <f>IFERROR(M36/M34,"")</f>
        <v>5.4777777777777725</v>
      </c>
      <c r="N37" s="5">
        <f>IFERROR(N36/N34,"")</f>
        <v>5.025555555555554</v>
      </c>
      <c r="O37" s="5">
        <f>IFERROR(O36/O34,"")</f>
        <v>4.025555555555553</v>
      </c>
      <c r="P37" s="5">
        <f>IFERROR(P36/P34,"")</f>
        <v>3.0255555555555533</v>
      </c>
      <c r="Q37" s="5">
        <f>IFERROR(Q36/Q34,"")</f>
        <v>2.0255555555555533</v>
      </c>
      <c r="R37" s="5">
        <f>IFERROR(R36/R34,"")</f>
        <v>1.0255555555555533</v>
      </c>
      <c r="S37" s="5">
        <f>IFERROR(S36/S34,"")</f>
        <v>0.025555555555553337</v>
      </c>
      <c r="T37" s="5">
        <f>IFERROR(T36/T34,"")</f>
        <v>-0.9744444444444467</v>
      </c>
      <c r="U37" s="5">
        <f>IFERROR(U36/U34,"")</f>
        <v>-1.9744444444444467</v>
      </c>
      <c r="V37" s="5">
        <f>IFERROR(V36/V34,"")</f>
        <v>-2.9744444444444467</v>
      </c>
      <c r="W37" s="5">
        <f>IFERROR(W36/W34,"")</f>
        <v>-3.974444444444447</v>
      </c>
      <c r="X37" s="5">
        <f>IFERROR(X36/X34,"")</f>
        <v>-4.9744444444444476</v>
      </c>
      <c r="Y37" s="5">
        <f>IFERROR(Y36/Y34,"")</f>
        <v>-5.9744444444444476</v>
      </c>
    </row>
    <row r="38">
      <c r="A38" s="11"/>
      <c r="B38" t="inlineStr" s="11">
        <is>
          <t>FEAST IQF SPINACH 12*450 GR</t>
        </is>
      </c>
      <c r="C38" t="inlineStr" s="11">
        <is>
          <t>急速冷凍菠菜</t>
        </is>
      </c>
      <c r="D38" s="5">
        <v>72</v>
      </c>
      <c r="E38" t="inlineStr" s="4">
        <is>
          <t>FCST / 出貨需求</t>
        </is>
      </c>
      <c r="F38" s="5"/>
      <c r="G38" s="5"/>
      <c r="H38" s="5"/>
      <c r="I38" s="5"/>
      <c r="J38" s="5"/>
      <c r="K38" s="5">
        <v>60</v>
      </c>
      <c r="L38" s="5">
        <v>60</v>
      </c>
      <c r="M38" s="5">
        <v>60</v>
      </c>
      <c r="N38" s="5">
        <v>60</v>
      </c>
      <c r="O38" s="5">
        <v>60</v>
      </c>
      <c r="P38" s="5">
        <v>60</v>
      </c>
      <c r="Q38" s="5"/>
      <c r="R38" s="5"/>
      <c r="S38" s="5"/>
      <c r="T38" s="5"/>
      <c r="U38" s="5"/>
      <c r="V38" s="5"/>
      <c r="W38" s="5"/>
      <c r="X38" s="5"/>
      <c r="Y38" s="5"/>
    </row>
    <row r="39">
      <c r="A39" s="11"/>
      <c r="B39" s="11"/>
      <c r="C39" s="11"/>
      <c r="D39" s="5"/>
      <c r="E39" t="inlineStr" s="12">
        <is>
          <t>order / 訂貨板數</t>
        </is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1"/>
      <c r="B40" s="11"/>
      <c r="C40" s="11"/>
      <c r="D40" s="5"/>
      <c r="E40" t="inlineStr" s="7">
        <is>
          <t>Stock / 月末庫存</t>
        </is>
      </c>
      <c r="F40" s="7">
        <v>0</v>
      </c>
      <c r="G40" s="7">
        <f>IF(G38="","",$F40-G38+G39*$D38)</f>
      </c>
      <c r="H40" s="7">
        <f>IF(H38="","",G40-H38+H39*$D38)</f>
      </c>
      <c r="I40" s="7">
        <f>IF(I38="","",H40-I38+I39*$D38)</f>
      </c>
      <c r="J40" s="7">
        <f>IF(J38="","",I40-J38+J39*$D38)</f>
      </c>
      <c r="K40" s="7">
        <f>IF(K38="","",J40-K38+K39*$D38)</f>
        <v>-60</v>
      </c>
      <c r="L40" s="7">
        <f>IF(L38="","",K40-L38+L39*$D38)</f>
        <v>-120</v>
      </c>
      <c r="M40" s="7">
        <f>IF(M38="","",L40-M38+M39*$D38)</f>
        <v>-180</v>
      </c>
      <c r="N40" s="7">
        <f>IF(N38="","",M40-N38+N39*$D38)</f>
        <v>-240</v>
      </c>
      <c r="O40" s="7">
        <f>IF(O38="","",N40-O38+O39*$D38)</f>
        <v>-300</v>
      </c>
      <c r="P40" s="7">
        <f>IF(P38="","",O40-P38+P39*$D38)</f>
        <v>-360</v>
      </c>
      <c r="Q40" s="7">
        <f>IF(Q38="","",P40-Q38+Q39*$D38)</f>
      </c>
      <c r="R40" s="7">
        <f>IF(R38="","",Q40-R38+R39*$D38)</f>
      </c>
      <c r="S40" s="7">
        <f>IF(S38="","",R40-S38+S39*$D38)</f>
      </c>
      <c r="T40" s="7">
        <f>IF(T38="","",S40-T38+T39*$D38)</f>
      </c>
      <c r="U40" s="7">
        <f>IF(U38="","",T40-U38+U39*$D38)</f>
      </c>
      <c r="V40" s="7">
        <f>IF(V38="","",U40-V38+V39*$D38)</f>
      </c>
      <c r="W40" s="7">
        <f>IF(W38="","",V40-W38+W39*$D38)</f>
      </c>
      <c r="X40" s="7">
        <f>IF(X38="","",W40-X38+X39*$D38)</f>
      </c>
      <c r="Y40" s="7">
        <f>IF(Y38="","",X40-Y38+Y39*$D38)</f>
      </c>
    </row>
    <row r="41">
      <c r="A41" s="11"/>
      <c r="B41" s="11"/>
      <c r="C41" s="11"/>
      <c r="D41" s="5"/>
      <c r="E41" t="inlineStr" s="7">
        <is>
          <t>cover month / 可涵蓋月數</t>
        </is>
      </c>
      <c r="F41" s="7">
        <f>IFERROR(F40/G38,"")</f>
      </c>
      <c r="G41" s="5">
        <f>IFERROR(G40/G38,"")</f>
      </c>
      <c r="H41" s="5">
        <f>IFERROR(H40/H38,"")</f>
      </c>
      <c r="I41" s="5">
        <f>IFERROR(I40/I38,"")</f>
      </c>
      <c r="J41" s="5">
        <f>IFERROR(J40/J38,"")</f>
      </c>
      <c r="K41" s="5">
        <f>IFERROR(K40/K38,"")</f>
        <v>-1</v>
      </c>
      <c r="L41" s="5">
        <f>IFERROR(L40/L38,"")</f>
        <v>-2</v>
      </c>
      <c r="M41" s="5">
        <f>IFERROR(M40/M38,"")</f>
        <v>-3</v>
      </c>
      <c r="N41" s="5">
        <f>IFERROR(N40/N38,"")</f>
        <v>-4</v>
      </c>
      <c r="O41" s="5">
        <f>IFERROR(O40/O38,"")</f>
        <v>-5</v>
      </c>
      <c r="P41" s="5">
        <f>IFERROR(P40/P38,"")</f>
        <v>-6</v>
      </c>
      <c r="Q41" s="5">
        <f>IFERROR(Q40/Q38,"")</f>
      </c>
      <c r="R41" s="5">
        <f>IFERROR(R40/R38,"")</f>
      </c>
      <c r="S41" s="5">
        <f>IFERROR(S40/S38,"")</f>
      </c>
      <c r="T41" s="5">
        <f>IFERROR(T40/T38,"")</f>
      </c>
      <c r="U41" s="5">
        <f>IFERROR(U40/U38,"")</f>
      </c>
      <c r="V41" s="5">
        <f>IFERROR(V40/V38,"")</f>
      </c>
      <c r="W41" s="5">
        <f>IFERROR(W40/W38,"")</f>
      </c>
      <c r="X41" s="5">
        <f>IFERROR(X40/X38,"")</f>
      </c>
      <c r="Y41" s="5">
        <f>IFERROR(Y40/Y38,"")</f>
      </c>
    </row>
  </sheetData>
  <autoFilter ref="A5:Y41"/>
  <mergeCells count="38">
    <mergeCell ref="A1:Y1"/>
    <mergeCell ref="A2:Y2"/>
    <mergeCell ref="A6:A9"/>
    <mergeCell ref="B6:B9"/>
    <mergeCell ref="C6:C9"/>
    <mergeCell ref="D6:D9"/>
    <mergeCell ref="A10:A13"/>
    <mergeCell ref="B10:B13"/>
    <mergeCell ref="C10:C13"/>
    <mergeCell ref="D10:D13"/>
    <mergeCell ref="A14:A17"/>
    <mergeCell ref="B14:B17"/>
    <mergeCell ref="C14:C17"/>
    <mergeCell ref="D14:D17"/>
    <mergeCell ref="A18:A21"/>
    <mergeCell ref="B18:B21"/>
    <mergeCell ref="C18:C21"/>
    <mergeCell ref="D18:D21"/>
    <mergeCell ref="A22:A25"/>
    <mergeCell ref="B22:B25"/>
    <mergeCell ref="C22:C25"/>
    <mergeCell ref="D22:D25"/>
    <mergeCell ref="A26:A29"/>
    <mergeCell ref="B26:B29"/>
    <mergeCell ref="C26:C29"/>
    <mergeCell ref="D26:D29"/>
    <mergeCell ref="A30:A33"/>
    <mergeCell ref="B30:B33"/>
    <mergeCell ref="C30:C33"/>
    <mergeCell ref="D30:D33"/>
    <mergeCell ref="A34:A37"/>
    <mergeCell ref="B34:B37"/>
    <mergeCell ref="C34:C37"/>
    <mergeCell ref="D34:D37"/>
    <mergeCell ref="A38:A41"/>
    <mergeCell ref="B38:B41"/>
    <mergeCell ref="C38:C41"/>
    <mergeCell ref="D38:D41"/>
  </mergeCells>
  <dataValidations count="2">
    <dataValidation type="decimal" operator="greaterThanOrEqual" allowBlank="1" showErrorMessage="1" sqref="F6:F41">
      <formula1>0</formula1>
    </dataValidation>
    <dataValidation type="whole" operator="greaterThanOrEqual" allowBlank="1" showErrorMessage="1" sqref="G7:Y7 G11:Y11 G15:Y15 G19:Y19 G23:Y23 G27:Y27 G31:Y31 G35:Y35 G39:Y39">
      <formula1>0</formula1>
    </dataValidation>
  </dataValidation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Forecast_History</vt:lpstr>
      <vt:lpstr>Settings</vt:lpstr>
      <vt:lpstr>Inventory_Planning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S&amp;OP Rolling 12 Month Forecast</dc:title>
  <dc:creator>Codex</dc:creator>
  <cp:lastModifiedBy>Codex</cp:lastModifiedBy>
  <dcterms:created xsi:type="dcterms:W3CDTF">2026-06-19T11:47:25.220Z</dcterms:created>
  <dcterms:modified xsi:type="dcterms:W3CDTF">2026-06-19T11:47:25.220Z</dcterms:modified>
</cp:coreProperties>
</file>